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jame\Desktop\Research\DRB\Pywr-DRB\NYCOptimization\outputs\supplemental\anvil_scaling_experiment\"/>
    </mc:Choice>
  </mc:AlternateContent>
  <xr:revisionPtr revIDLastSave="0" documentId="13_ncr:1_{3E64B7EB-066F-435E-9630-CD96935A332A}" xr6:coauthVersionLast="47" xr6:coauthVersionMax="47" xr10:uidLastSave="{00000000-0000-0000-0000-000000000000}"/>
  <bookViews>
    <workbookView xWindow="-11040" yWindow="-21600" windowWidth="37980" windowHeight="20985" xr2:uid="{00000000-000D-0000-FFFF-FFFF00000000}"/>
  </bookViews>
  <sheets>
    <sheet name="README" sheetId="1" r:id="rId1"/>
    <sheet name="Inputs" sheetId="2" r:id="rId2"/>
    <sheet name="Calculator" sheetId="3" r:id="rId3"/>
    <sheet name="Design_Compare" sheetId="4" r:id="rId4"/>
    <sheet name="Data_CostSurface" sheetId="5" r:id="rId5"/>
    <sheet name="Data_Packing" sheetId="6" r:id="rId6"/>
    <sheet name="Data_BorgScaling" sheetId="7" r:id="rId7"/>
    <sheet name="Data_Batching" sheetId="8" r:id="rId8"/>
    <sheet name="Data_Fits" sheetId="9" r:id="rId9"/>
  </sheets>
  <definedNames>
    <definedName name="allocation_su">Data_Fits!$B$13</definedName>
    <definedName name="cores_per_node">Data_Fits!$B$9</definedName>
    <definedName name="efficiency_manual">Inputs!$B$16</definedName>
    <definedName name="efficiency_method">Inputs!$B$15</definedName>
    <definedName name="full_over_trimmed_time">Data_Fits!$B$14</definedName>
    <definedName name="islands">Inputs!$B$13</definedName>
    <definedName name="mem_safety_frac">Data_Fits!$B$12</definedName>
    <definedName name="model_variant">Inputs!$B$7</definedName>
    <definedName name="n_designs">Inputs!$B$19</definedName>
    <definedName name="n_draws">Inputs!$B$20</definedName>
    <definedName name="n_realizations">Inputs!$B$5</definedName>
    <definedName name="n_seeds">Inputs!$B$21</definedName>
    <definedName name="nfe_total">Inputs!$B$14</definedName>
    <definedName name="node_mem_gb">Data_Fits!$B$10</definedName>
    <definedName name="nodes">Inputs!$B$12</definedName>
    <definedName name="ranks_per_node">Inputs!$B$11</definedName>
    <definedName name="realization_years">Inputs!$B$6</definedName>
    <definedName name="realizations_per_run">Inputs!$B$8</definedName>
    <definedName name="reeval_n_realizations">Inputs!$B$25</definedName>
    <definedName name="reeval_nodes">Inputs!$B$27</definedName>
    <definedName name="reeval_policies">Inputs!$B$24</definedName>
    <definedName name="reeval_years">Inputs!$B$26</definedName>
    <definedName name="su_per_node_hr">Data_Fits!$B$11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C10" i="4" s="1"/>
  <c r="D10" i="4" s="1"/>
  <c r="E10" i="4" s="1"/>
  <c r="B9" i="4"/>
  <c r="C9" i="4" s="1"/>
  <c r="D9" i="4" s="1"/>
  <c r="E9" i="4" s="1"/>
  <c r="B8" i="4"/>
  <c r="C8" i="4" s="1"/>
  <c r="D8" i="4" s="1"/>
  <c r="E8" i="4" s="1"/>
  <c r="B7" i="4"/>
  <c r="C7" i="4" s="1"/>
  <c r="D7" i="4" s="1"/>
  <c r="E7" i="4" s="1"/>
  <c r="B6" i="4"/>
  <c r="C6" i="4" s="1"/>
  <c r="D6" i="4" s="1"/>
  <c r="E6" i="4" s="1"/>
  <c r="B5" i="4"/>
  <c r="C5" i="4" s="1"/>
  <c r="D5" i="4" s="1"/>
  <c r="E5" i="4" s="1"/>
  <c r="B40" i="3"/>
  <c r="B34" i="3"/>
  <c r="B22" i="3"/>
  <c r="B23" i="3" s="1"/>
  <c r="B17" i="3"/>
  <c r="B18" i="3" s="1"/>
  <c r="B19" i="3" s="1"/>
  <c r="B15" i="3"/>
  <c r="B16" i="3" s="1"/>
  <c r="B11" i="3"/>
  <c r="B10" i="3"/>
  <c r="B8" i="3"/>
  <c r="B7" i="3"/>
  <c r="B9" i="3" s="1"/>
  <c r="B12" i="3" s="1"/>
  <c r="B6" i="3"/>
  <c r="B5" i="3"/>
  <c r="B42" i="3" l="1"/>
  <c r="B41" i="3"/>
  <c r="B25" i="3"/>
  <c r="B24" i="3"/>
  <c r="B28" i="3" s="1"/>
  <c r="B36" i="3" s="1"/>
  <c r="F5" i="4"/>
  <c r="F6" i="4"/>
  <c r="F7" i="4"/>
  <c r="F8" i="4"/>
  <c r="F9" i="4"/>
  <c r="F10" i="4"/>
  <c r="B29" i="3" l="1"/>
  <c r="B30" i="3"/>
  <c r="B31" i="3"/>
  <c r="B35" i="3" s="1"/>
  <c r="B44" i="3" s="1"/>
  <c r="B37" i="3"/>
  <c r="G5" i="4"/>
  <c r="H5" i="4" s="1"/>
  <c r="I5" i="4" s="1"/>
  <c r="J5" i="4"/>
  <c r="G6" i="4"/>
  <c r="H6" i="4" s="1"/>
  <c r="I6" i="4" s="1"/>
  <c r="J6" i="4"/>
  <c r="G7" i="4"/>
  <c r="H7" i="4" s="1"/>
  <c r="I7" i="4" s="1"/>
  <c r="J7" i="4"/>
  <c r="G8" i="4"/>
  <c r="H8" i="4" s="1"/>
  <c r="I8" i="4" s="1"/>
  <c r="J8" i="4"/>
  <c r="G9" i="4"/>
  <c r="H9" i="4" s="1"/>
  <c r="I9" i="4" s="1"/>
  <c r="J9" i="4"/>
  <c r="G10" i="4"/>
  <c r="H10" i="4" s="1"/>
  <c r="I10" i="4" s="1"/>
  <c r="J10" i="4"/>
  <c r="B45" i="3" l="1"/>
  <c r="B46" i="3" s="1"/>
  <c r="B49" i="3"/>
</calcChain>
</file>

<file path=xl/sharedStrings.xml><?xml version="1.0" encoding="utf-8"?>
<sst xmlns="http://schemas.openxmlformats.org/spreadsheetml/2006/main" count="330" uniqueCount="263">
  <si>
    <t>HPC parallelism + SU cost calculator</t>
  </si>
  <si>
    <t>Built by scripts/temporary/build_hpc_cost_calculator.py -- rerun it to refresh from the output tables.</t>
  </si>
  <si>
    <t>HOW TO USE</t>
  </si>
  <si>
    <t>1. Set the yellow toggles on the Inputs sheet.</t>
  </si>
  <si>
    <t>2. Read Calculator for one Borg run + the whole campaign.</t>
  </si>
  <si>
    <t>3. Read Design_Compare to see wall time vs SU across node counts.</t>
  </si>
  <si>
    <t>4. Watch the three CHECK rows on Calculator: memory, walltime, allocation.</t>
  </si>
  <si>
    <t>WHERE THE NUMBERS COME FROM</t>
  </si>
  <si>
    <t>Data_CostSurface  MEASURED  48 cells, N x L x {trimmed, full}, ensemble_cost_experiment.</t>
  </si>
  <si>
    <t>Data_Packing      MEASURED  K ladder 1..128, anvil_scaling_experiment (stand-in N=20 L=20).</t>
  </si>
  <si>
    <t>Data_BorgScaling  MEASURED  Borg efficiency 8..64 slots, anvil_scaling_experiment.</t>
  </si>
  <si>
    <t>Data_Batching     MEASURED  realizations per model.run(), anvil_scaling_experiment.</t>
  </si>
  <si>
    <t>Data_Fits         FITTED    re-fitted on every build from Data_CostSurface.</t>
  </si>
  <si>
    <t>KEY RELATIONSHIPS</t>
  </si>
  <si>
    <t>walltime_hr = NFE x t_eval / (workers x efficiency) / 3600</t>
  </si>
  <si>
    <t>su          = nodes x walltime_hr x 128           (Anvil charges 1 SU per core-hour)</t>
  </si>
  <si>
    <t>workers     = nodes x K - islands - 1             (1 master + 1 controller per island)</t>
  </si>
  <si>
    <t>WHAT THE MEASUREMENTS ACTUALLY SHOWED</t>
  </si>
  <si>
    <t>Pack to K=128: costs 17% per evaluation, buys 128x parallelism (~110x cheaper per eval).</t>
  </si>
  <si>
    <t>Memory is not binding at small N x L (89 of 256 GB at N=20 L=20) but IS at N=200 L=30.</t>
  </si>
  <si>
    <t>Island layout is free (F4): 1x64, 2x32 and 4x16 all land within 2% of each other.</t>
  </si>
  <si>
    <t>Buying nodes buys wall time almost for free: SU varies &lt;4% across 2-16 nodes (F5).</t>
  </si>
  <si>
    <t>Batch the whole ensemble per model.run(): not doing so costs up to 2.4x.</t>
  </si>
  <si>
    <t>Cost is near-LINEAR in scenario-years (N x L). Doubling N roughly doubles the bill.</t>
  </si>
  <si>
    <t>LIMITS -- PLEASE READ BEFORE QUOTING A NUMBER</t>
  </si>
  <si>
    <t>* Efficiency comes from DEBUG_SIM single-trace runs (~6 s/eval), not ensemble evaluations.</t>
  </si>
  <si>
    <t xml:space="preserve">  It isolates Borg overhead by design. Real 174 s evaluations should do BETTER, so this</t>
  </si>
  <si>
    <t xml:space="preserve">  is a conservative floor -- but it is the largest single source of error here.</t>
  </si>
  <si>
    <t>* Efficiency beyond 64 slots is EXTRAPOLATED. Most useful designs sit past that point.</t>
  </si>
  <si>
    <t xml:space="preserve">  Compare 'measured_hold' against 'loglinear' to see how much that assumption is worth.</t>
  </si>
  <si>
    <t>* The packing ladder was measured at N=20 L=20 only. The calculator assumes contention</t>
  </si>
  <si>
    <t xml:space="preserve">  scales with K independently of ensemble size. Untested at the N=100 design point.</t>
  </si>
  <si>
    <t>* The fitted fallback is only used off the measured grid; it is worst at tiny N.</t>
  </si>
  <si>
    <t>* Queue wait is not modelled. Wall time here is compute time only.</t>
  </si>
  <si>
    <t>* Borg's own convergence is not modelled: NFE is an input, not an output.</t>
  </si>
  <si>
    <t>HPC design toggles</t>
  </si>
  <si>
    <t>Change any YELLOW cell. Everything on Calculator and Design_Compare updates live.</t>
  </si>
  <si>
    <t>n_realizations</t>
  </si>
  <si>
    <t>N: realizations per evaluation. On-grid: 1/10/20/50/100/200 -&gt; exact measured lookup.</t>
  </si>
  <si>
    <t>realization_years</t>
  </si>
  <si>
    <t>L: years per realization. On-grid: 5/10/20/30 -&gt; exact measured lookup.</t>
  </si>
  <si>
    <t>model_variant</t>
  </si>
  <si>
    <t>trimmed</t>
  </si>
  <si>
    <t>'trimmed' (search, steps 06) or 'full' (baseline/re-eval, steps 05/08).</t>
  </si>
  <si>
    <t>realizations_per_run</t>
  </si>
  <si>
    <t>all</t>
  </si>
  <si>
    <t>B: realizations per model.run(). 'all' = campaign setting. Others cost ~1.1-2.4x.</t>
  </si>
  <si>
    <t>ranks_per_node</t>
  </si>
  <si>
    <t>K: concurrent evaluator ranks per node. 128 = SU-optimal (F2). Auto-capped by memory below.</t>
  </si>
  <si>
    <t>nodes</t>
  </si>
  <si>
    <t>Nodes per Borg run. Wall time halves per doubling; SU is nearly flat (F5).</t>
  </si>
  <si>
    <t>islands</t>
  </si>
  <si>
    <t>MM-Borg islands. Costs ~nothing in speed (F4) -- pick for search quality.</t>
  </si>
  <si>
    <t>nfe_total</t>
  </si>
  <si>
    <t>Total NFE across all islands for ONE Borg run.</t>
  </si>
  <si>
    <t>efficiency_method</t>
  </si>
  <si>
    <t>measured_hold</t>
  </si>
  <si>
    <t>measured_hold | loglinear | manual. See Calculator note.</t>
  </si>
  <si>
    <t>efficiency_manual</t>
  </si>
  <si>
    <t>Used only when efficiency_method = manual.</t>
  </si>
  <si>
    <t>CAMPAIGN SCOPE (how many Borg runs)</t>
  </si>
  <si>
    <t>n_designs</t>
  </si>
  <si>
    <t>Scenario designs compared.</t>
  </si>
  <si>
    <t>n_draws</t>
  </si>
  <si>
    <t>Ensemble draws per design (K in the experimental design).</t>
  </si>
  <si>
    <t>n_seeds</t>
  </si>
  <si>
    <t>MOEA seeds per draw (S).</t>
  </si>
  <si>
    <t>RE-EVALUATION (final Pareto sets on the held-out test ensemble)</t>
  </si>
  <si>
    <t>reeval_policies</t>
  </si>
  <si>
    <t>Pareto solutions re-simulated in total.</t>
  </si>
  <si>
    <t>reeval_n_realizations</t>
  </si>
  <si>
    <t>N of the re-evaluation ensemble E_test.</t>
  </si>
  <si>
    <t>reeval_years</t>
  </si>
  <si>
    <t>L of the re-evaluation ensemble E_test.</t>
  </si>
  <si>
    <t>reeval_nodes</t>
  </si>
  <si>
    <t>Nodes for the re-evaluation job (embarrassingly parallel).</t>
  </si>
  <si>
    <t>Runtime + SU calculator</t>
  </si>
  <si>
    <t>Green = computed. Blue = headline. Nothing here is typed; change Inputs.</t>
  </si>
  <si>
    <t>PER-EVALUATION COST</t>
  </si>
  <si>
    <t>lookup key</t>
  </si>
  <si>
    <t>Composite key into the measured cost surface.</t>
  </si>
  <si>
    <t>on measured grid?</t>
  </si>
  <si>
    <t>Exact measured cells always beat the fit. N=100/L=10 (the campaign point) is on-grid.</t>
  </si>
  <si>
    <t>t_eval_measured_s</t>
  </si>
  <si>
    <t>MEASURED warm median seconds per evaluation at K=128.</t>
  </si>
  <si>
    <t>t_eval_fitted_s</t>
  </si>
  <si>
    <t>Fallback: intercept + per-scenario-year * N * L. ~4% median error, worst at tiny N.</t>
  </si>
  <si>
    <t>t_eval_base_s</t>
  </si>
  <si>
    <t>Measured if available, else fitted. This is the K=128 baseline.</t>
  </si>
  <si>
    <t>packing_adjust</t>
  </si>
  <si>
    <t>Contention relative to K=128. &lt;1 means a less-packed node evaluates faster.</t>
  </si>
  <si>
    <t>batching_adjust</t>
  </si>
  <si>
    <t>Time penalty for splitting the ensemble across model.run() calls. 'all' = 1.0.</t>
  </si>
  <si>
    <t>t_eval_s</t>
  </si>
  <si>
    <t>Effective seconds per evaluation under this design.</t>
  </si>
  <si>
    <t>MEMORY FEASIBILITY</t>
  </si>
  <si>
    <t>rss_per_rank_mb</t>
  </si>
  <si>
    <t>Peak resident memory of one evaluating rank.</t>
  </si>
  <si>
    <t>node_mem_needed_gb</t>
  </si>
  <si>
    <t>K ranks x per-rank peak.</t>
  </si>
  <si>
    <t>node_mem_usable_gb</t>
  </si>
  <si>
    <t>85% of 256 GB; the rest covers the cold-build spike and /dev/shm model JSONs.</t>
  </si>
  <si>
    <t>max_K_that_fits</t>
  </si>
  <si>
    <t>Memory ceiling on packing density. This is what forces K&lt;128 at large N x L.</t>
  </si>
  <si>
    <t>MEMORY CHECK</t>
  </si>
  <si>
    <t>F3 showed memory is not binding at small N x L -- but it IS at N=200, L=30.</t>
  </si>
  <si>
    <t>PARALLEL GEOMETRY</t>
  </si>
  <si>
    <t>total_ranks</t>
  </si>
  <si>
    <t>MPI ranks in the job.</t>
  </si>
  <si>
    <t>evaluation_workers</t>
  </si>
  <si>
    <t>ntasks = 1 + islands * (workers_per_island + 1); so workers = ranks - islands - 1.</t>
  </si>
  <si>
    <t>efficiency</t>
  </si>
  <si>
    <t>measured_hold: exact measured value, else hold the 64-slot floor (0.729). loglinear: extrapolate the decay. manual: your own number.</t>
  </si>
  <si>
    <t>efficiency_is_extrapolated</t>
  </si>
  <si>
    <t>Everything above 64 slots is extrapolation. Conservative, since single-trace runs understate efficiency at real evaluation cost.</t>
  </si>
  <si>
    <t>ONE BORG RUN</t>
  </si>
  <si>
    <t>walltime_hr</t>
  </si>
  <si>
    <t>NFE x seconds-per-eval, spread over workers, degraded by efficiency.</t>
  </si>
  <si>
    <t>walltime_readable</t>
  </si>
  <si>
    <t>Anvil wholenode max walltime is 96 h -- check below.</t>
  </si>
  <si>
    <t>WALLTIME CHECK</t>
  </si>
  <si>
    <t>su_per_run</t>
  </si>
  <si>
    <t>Nodes x hours x 128 SU/node-hour.</t>
  </si>
  <si>
    <t>CAMPAIGN TOTAL</t>
  </si>
  <si>
    <t>n_borg_runs</t>
  </si>
  <si>
    <t>designs x draws x seeds.</t>
  </si>
  <si>
    <t>search_su</t>
  </si>
  <si>
    <t>All Borg runs.</t>
  </si>
  <si>
    <t>search_walltime_serial_hr</t>
  </si>
  <si>
    <t>If every run went one after another.</t>
  </si>
  <si>
    <t>search_walltime_parallel_hr</t>
  </si>
  <si>
    <t>All runs are independent sbatch jobs -- wall time is one run, queue permitting.</t>
  </si>
  <si>
    <t>RE-EVALUATION</t>
  </si>
  <si>
    <t>reeval_t_eval_s</t>
  </si>
  <si>
    <t>Re-evaluation uses the FULL model on E_test.</t>
  </si>
  <si>
    <t>reeval_su</t>
  </si>
  <si>
    <t>Embarrassingly parallel: total core-hours, charged at 1 SU/core-hour.</t>
  </si>
  <si>
    <t>reeval_walltime_hr</t>
  </si>
  <si>
    <t>No Borg coordination here, so no efficiency penalty applied.</t>
  </si>
  <si>
    <t>TOTAL CAMPAIGN SU</t>
  </si>
  <si>
    <t>Search + re-evaluation.</t>
  </si>
  <si>
    <t>FRACTION OF ALLOCATION</t>
  </si>
  <si>
    <t>Against the 750,000 SU project allocation.</t>
  </si>
  <si>
    <t>ALLOCATION CHECK</t>
  </si>
  <si>
    <t>Parallelism design comparison</t>
  </si>
  <si>
    <t>Prices one Borg run across node counts, using the ensemble + NFE currently set on Inputs. Wall time falls with nodes; SU stays nearly flat -- so buy speed.</t>
  </si>
  <si>
    <t>workers</t>
  </si>
  <si>
    <t>campaign_su</t>
  </si>
  <si>
    <t>frac_of_allocation</t>
  </si>
  <si>
    <t>fits_96h</t>
  </si>
  <si>
    <t>Measured per-evaluation cost surface</t>
  </si>
  <si>
    <t>MEASURED. ensemble_cost_experiment/tables/cost_surface.csv. Warm median seconds for one full ensemble evaluation, N realizations x L years, at K=128 ranks/node unless k_concurrent says otherwise. Rows with fits_128_ranks=FALSE were measured at reduced K (memory-limited) and so carry LESS contention than a packed node.</t>
  </si>
  <si>
    <t>key</t>
  </si>
  <si>
    <t>scenario_years</t>
  </si>
  <si>
    <t>k_concurrent</t>
  </si>
  <si>
    <t>warm_median_s</t>
  </si>
  <si>
    <t>rss_max_mb</t>
  </si>
  <si>
    <t>fits_128_ranks</t>
  </si>
  <si>
    <t>full|1|5</t>
  </si>
  <si>
    <t>full</t>
  </si>
  <si>
    <t>full|10|5</t>
  </si>
  <si>
    <t>full|20|5</t>
  </si>
  <si>
    <t>full|50|5</t>
  </si>
  <si>
    <t>full|100|5</t>
  </si>
  <si>
    <t>full|200|5</t>
  </si>
  <si>
    <t>full|1|10</t>
  </si>
  <si>
    <t>full|10|10</t>
  </si>
  <si>
    <t>full|20|10</t>
  </si>
  <si>
    <t>full|50|10</t>
  </si>
  <si>
    <t>full|100|10</t>
  </si>
  <si>
    <t>full|200|10</t>
  </si>
  <si>
    <t>full|1|20</t>
  </si>
  <si>
    <t>full|10|20</t>
  </si>
  <si>
    <t>full|20|20</t>
  </si>
  <si>
    <t>full|50|20</t>
  </si>
  <si>
    <t>full|100|20</t>
  </si>
  <si>
    <t>full|200|20</t>
  </si>
  <si>
    <t>full|1|30</t>
  </si>
  <si>
    <t>full|10|30</t>
  </si>
  <si>
    <t>full|20|30</t>
  </si>
  <si>
    <t>full|50|30</t>
  </si>
  <si>
    <t>full|100|30</t>
  </si>
  <si>
    <t>full|200|30</t>
  </si>
  <si>
    <t>trimmed|1|5</t>
  </si>
  <si>
    <t>trimmed|10|5</t>
  </si>
  <si>
    <t>trimmed|20|5</t>
  </si>
  <si>
    <t>trimmed|50|5</t>
  </si>
  <si>
    <t>trimmed|100|5</t>
  </si>
  <si>
    <t>trimmed|200|5</t>
  </si>
  <si>
    <t>trimmed|1|10</t>
  </si>
  <si>
    <t>trimmed|10|10</t>
  </si>
  <si>
    <t>trimmed|20|10</t>
  </si>
  <si>
    <t>trimmed|50|10</t>
  </si>
  <si>
    <t>trimmed|100|10</t>
  </si>
  <si>
    <t>trimmed|200|10</t>
  </si>
  <si>
    <t>trimmed|1|20</t>
  </si>
  <si>
    <t>trimmed|10|20</t>
  </si>
  <si>
    <t>trimmed|20|20</t>
  </si>
  <si>
    <t>trimmed|50|20</t>
  </si>
  <si>
    <t>trimmed|100|20</t>
  </si>
  <si>
    <t>trimmed|200|20</t>
  </si>
  <si>
    <t>trimmed|1|30</t>
  </si>
  <si>
    <t>trimmed|10|30</t>
  </si>
  <si>
    <t>trimmed|20|30</t>
  </si>
  <si>
    <t>trimmed|50|30</t>
  </si>
  <si>
    <t>trimmed|100|30</t>
  </si>
  <si>
    <t>trimmed|200|30</t>
  </si>
  <si>
    <t>Packing ladder: contention vs ranks per node</t>
  </si>
  <si>
    <t>MEASURED. anvil_scaling_experiment/tables/packing_summary.csv (stand-in preset N=20, L=20, whole ensemble per run). 'contention_vs_k128' rescales the slowdown so K=128 -&gt; 1.0, because the cost surface above is itself measured at K=128. Assumes contention scales with K independently of ensemble size -- untested at N=100.</t>
  </si>
  <si>
    <t>k</t>
  </si>
  <si>
    <t>slowdown_vs_k1</t>
  </si>
  <si>
    <t>evals_per_node_hr</t>
  </si>
  <si>
    <t>su_per_1000_evals</t>
  </si>
  <si>
    <t>contention_vs_k128</t>
  </si>
  <si>
    <t>Borg strong scaling: parallel efficiency vs evaluation slots</t>
  </si>
  <si>
    <t>MEASURED. anvil_scaling_experiment/tables/borg_summary.csv. NOTE these runs used DEBUG_SIM single-trace short-window evaluations (~6 s/eval), NOT ensemble evaluations -- by design, so the signal is Borg's parallel overhead rather than simulation cost. With real ~174 s evaluations there is far more work per unit of coordination, so true efficiency should be BETTER than these numbers. Treat as a conservative floor. Max measured = 64 slots; anything beyond is extrapolation.</t>
  </si>
  <si>
    <t>config</t>
  </si>
  <si>
    <t>workers_per_island</t>
  </si>
  <si>
    <t>total_slots</t>
  </si>
  <si>
    <t>ranks</t>
  </si>
  <si>
    <t>total_nfe</t>
  </si>
  <si>
    <t>wall_mean_s</t>
  </si>
  <si>
    <t>speedup</t>
  </si>
  <si>
    <t>ideal_speedup</t>
  </si>
  <si>
    <t>scale_1x8</t>
  </si>
  <si>
    <t>scale_1x16</t>
  </si>
  <si>
    <t>scale_1x32</t>
  </si>
  <si>
    <t>scale_1x64</t>
  </si>
  <si>
    <t>scale_2x32</t>
  </si>
  <si>
    <t>scale_4x16</t>
  </si>
  <si>
    <t>Log-linear extrapolation fit (1-island points)</t>
  </si>
  <si>
    <t>efficiency = intercept + slope * LOG2(slots)</t>
  </si>
  <si>
    <t>intercept</t>
  </si>
  <si>
    <t>slope</t>
  </si>
  <si>
    <t>(~8.6% efficiency lost per doubling of slots)</t>
  </si>
  <si>
    <t>Batched evaluation: realizations per model.run() (at K=128)</t>
  </si>
  <si>
    <t>MEASURED. anvil_scaling_experiment/tables/batch_summary.csv (stand-in preset N=20, L=20). 'time_vs_all' is the per-eval time penalty relative to passing the whole ensemble in one call. B=all is the campaign setting; the other rows exist to show what NOT batching would cost.</t>
  </si>
  <si>
    <t>b_effective</t>
  </si>
  <si>
    <t>time_vs_all</t>
  </si>
  <si>
    <t>Fitted fallback models (used only OFF the measured grid)</t>
  </si>
  <si>
    <t>FITTED here from Data_CostSurface K=128 cells on each build. t_eval = t_intercept + t_per_scenario_year * N * L. RSS = rss_base + rss_per_scenario_year * N * L. Cost is very nearly LINEAR in scenario-years (fitted exponents ~1.0), so the pywr scenario machinery buys little sub-linearity. Fit error is largest at the tiny-N corner, which is far from any campaign design point.</t>
  </si>
  <si>
    <t>t_intercept_s</t>
  </si>
  <si>
    <t>t_per_scenario_year_s</t>
  </si>
  <si>
    <t>t_fit_median_err</t>
  </si>
  <si>
    <t>t_fit_max_err</t>
  </si>
  <si>
    <t>rss_base_mb</t>
  </si>
  <si>
    <t>rss_per_scenario_year_mb</t>
  </si>
  <si>
    <t>n_cells_fitted</t>
  </si>
  <si>
    <t>Constants</t>
  </si>
  <si>
    <t>cores_per_node</t>
  </si>
  <si>
    <t>Anvil CPU node</t>
  </si>
  <si>
    <t>node_mem_gb</t>
  </si>
  <si>
    <t>su_per_node_hr</t>
  </si>
  <si>
    <t>1 SU per core-hour; verified vs projection.csv</t>
  </si>
  <si>
    <t>mem_safety_frac</t>
  </si>
  <si>
    <t>usable fraction of node RAM (cold spike + /dev/shm)</t>
  </si>
  <si>
    <t>allocation_su</t>
  </si>
  <si>
    <t>total project allocation</t>
  </si>
  <si>
    <t>full_over_trimmed_time</t>
  </si>
  <si>
    <t>median measured ratio (informational; variants are looked up directly)</t>
  </si>
  <si>
    <t>UNUSED ALLOCATION</t>
  </si>
  <si>
    <t>ENSEMBLE (determines per-evaluation cost)</t>
  </si>
  <si>
    <t>PARALLELISM (determines walltime and 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</si>
</sst>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0.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0" fillId="3" borderId="1" xfId="0" applyFill="1" applyBorder="1"/>
    <xf numFmtId="49" fontId="0" fillId="4" borderId="1" xfId="0" applyNumberFormat="1" applyFill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2" fontId="0" fillId="5" borderId="1" xfId="0" applyNumberFormat="1" applyFill="1" applyBorder="1"/>
    <xf numFmtId="3" fontId="0" fillId="4" borderId="1" xfId="0" applyNumberFormat="1" applyFill="1" applyBorder="1"/>
    <xf numFmtId="166" fontId="0" fillId="4" borderId="1" xfId="0" applyNumberFormat="1" applyFill="1" applyBorder="1"/>
    <xf numFmtId="1" fontId="0" fillId="5" borderId="1" xfId="0" applyNumberFormat="1" applyFill="1" applyBorder="1"/>
    <xf numFmtId="49" fontId="0" fillId="5" borderId="1" xfId="0" applyNumberFormat="1" applyFill="1" applyBorder="1"/>
    <xf numFmtId="3" fontId="0" fillId="5" borderId="1" xfId="0" applyNumberFormat="1" applyFill="1" applyBorder="1"/>
    <xf numFmtId="165" fontId="0" fillId="4" borderId="1" xfId="0" applyNumberFormat="1" applyFill="1" applyBorder="1"/>
    <xf numFmtId="167" fontId="0" fillId="5" borderId="1" xfId="0" applyNumberFormat="1" applyFill="1" applyBorder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/>
    <xf numFmtId="165" fontId="0" fillId="0" borderId="1" xfId="0" applyNumberFormat="1" applyBorder="1"/>
    <xf numFmtId="0" fontId="4" fillId="0" borderId="0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Service Unit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E1-494C-B7AF-B1C7654686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7E1-494C-B7AF-B1C7654686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E1-494C-B7AF-B1C765468624}"/>
              </c:ext>
            </c:extLst>
          </c:dPt>
          <c:dLbls>
            <c:dLbl>
              <c:idx val="0"/>
              <c:layout>
                <c:manualLayout>
                  <c:x val="2.3414754006812977E-2"/>
                  <c:y val="3.60392170064581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E1-494C-B7AF-B1C765468624}"/>
                </c:ext>
              </c:extLst>
            </c:dLbl>
            <c:dLbl>
              <c:idx val="1"/>
              <c:layout>
                <c:manualLayout>
                  <c:x val="-1.1442452672139386E-2"/>
                  <c:y val="1.2166259689361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E1-494C-B7AF-B1C765468624}"/>
                </c:ext>
              </c:extLst>
            </c:dLbl>
            <c:dLbl>
              <c:idx val="2"/>
              <c:layout>
                <c:manualLayout>
                  <c:x val="-2.8649578377170939E-2"/>
                  <c:y val="1.251595484130755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E1-494C-B7AF-B1C7654686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(Calculator!$A$35,Calculator!$A$41,Calculator!$A$49)</c:f>
              <c:strCache>
                <c:ptCount val="3"/>
                <c:pt idx="0">
                  <c:v>search_su</c:v>
                </c:pt>
                <c:pt idx="1">
                  <c:v>reeval_su</c:v>
                </c:pt>
                <c:pt idx="2">
                  <c:v>UNUSED ALLOCATION</c:v>
                </c:pt>
              </c:strCache>
            </c:strRef>
          </c:cat>
          <c:val>
            <c:numRef>
              <c:f>(Calculator!$B$35,Calculator!$B$41,Calculator!$B$49)</c:f>
              <c:numCache>
                <c:formatCode>#,##0</c:formatCode>
                <c:ptCount val="3"/>
                <c:pt idx="0">
                  <c:v>497266.51044957462</c:v>
                </c:pt>
                <c:pt idx="1">
                  <c:v>85205.315708333321</c:v>
                </c:pt>
                <c:pt idx="2">
                  <c:v>167528.17384209204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1-494C-B7AF-B1C76546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Wallclock 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CD-48A3-ACB5-7D91A86AE4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4CD-48A3-ACB5-7D91A86AE496}"/>
              </c:ext>
            </c:extLst>
          </c:dPt>
          <c:dLbls>
            <c:dLbl>
              <c:idx val="0"/>
              <c:layout>
                <c:manualLayout>
                  <c:x val="1.4393792689211055E-2"/>
                  <c:y val="-3.15487026517228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CD-48A3-ACB5-7D91A86AE496}"/>
                </c:ext>
              </c:extLst>
            </c:dLbl>
            <c:dLbl>
              <c:idx val="1"/>
              <c:layout>
                <c:manualLayout>
                  <c:x val="-5.8357539613509125E-2"/>
                  <c:y val="-2.708456707535521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82061970265387"/>
                      <c:h val="8.93686165273909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4CD-48A3-ACB5-7D91A86AE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(Calculator!$A$37,Calculator!$A$42)</c:f>
              <c:strCache>
                <c:ptCount val="2"/>
                <c:pt idx="0">
                  <c:v>search_walltime_parallel_hr</c:v>
                </c:pt>
                <c:pt idx="1">
                  <c:v>reeval_walltime_hr</c:v>
                </c:pt>
              </c:strCache>
            </c:strRef>
          </c:cat>
          <c:val>
            <c:numRef>
              <c:f>(Calculator!$B$37,Calculator!$B$42)</c:f>
              <c:numCache>
                <c:formatCode>0.00</c:formatCode>
                <c:ptCount val="2"/>
                <c:pt idx="0">
                  <c:v>8.0935304435152116</c:v>
                </c:pt>
                <c:pt idx="1">
                  <c:v>20.802079030354815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D-48A3-ACB5-7D91A86AE4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179069</xdr:colOff>
      <xdr:row>4</xdr:row>
      <xdr:rowOff>60006</xdr:rowOff>
    </xdr:from>
    <xdr:to>
      <xdr:col>13</xdr:col>
      <xdr:colOff>133349</xdr:colOff>
      <xdr:row>25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D07201-295A-EED6-86CE-20F042A9D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150494</xdr:colOff>
      <xdr:row>26</xdr:row>
      <xdr:rowOff>111441</xdr:rowOff>
    </xdr:from>
    <xdr:to>
      <xdr:col>13</xdr:col>
      <xdr:colOff>133349</xdr:colOff>
      <xdr:row>47</xdr:row>
      <xdr:rowOff>3809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7CB8FC-5F64-22D2-15B2-134DB0855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I32" sqref="I32"/>
    </sheetView>
  </sheetViews>
  <sheetFormatPr defaultRowHeight="14.4" x14ac:dyDescent="0.3"/>
  <cols>
    <col min="1" max="1" width="118" customWidth="1"/>
  </cols>
  <sheetData>
    <row r="1" spans="1:1" ht="18" x14ac:dyDescent="0.35">
      <c r="A1" s="1" t="s">
        <v>0</v>
      </c>
    </row>
    <row r="2" spans="1:1" x14ac:dyDescent="0.3">
      <c r="A2" s="2" t="s">
        <v>1</v>
      </c>
    </row>
    <row r="4" spans="1:1" ht="18" x14ac:dyDescent="0.35">
      <c r="A4" s="1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ht="18" x14ac:dyDescent="0.35">
      <c r="A10" s="1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7" spans="1:1" ht="18" x14ac:dyDescent="0.35">
      <c r="A17" s="1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ht="18" x14ac:dyDescent="0.35">
      <c r="A22" s="1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30" spans="1:1" ht="18" x14ac:dyDescent="0.35">
      <c r="A30" s="1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="145" zoomScaleNormal="145" workbookViewId="0">
      <selection activeCell="B35" sqref="B35"/>
    </sheetView>
  </sheetViews>
  <sheetFormatPr defaultRowHeight="14.4" x14ac:dyDescent="0.3"/>
  <cols>
    <col min="1" max="1" width="34" customWidth="1"/>
    <col min="2" max="2" width="25.44140625" customWidth="1"/>
    <col min="3" max="3" width="74" customWidth="1"/>
  </cols>
  <sheetData>
    <row r="1" spans="1:3" ht="18" x14ac:dyDescent="0.35">
      <c r="A1" s="1" t="s">
        <v>35</v>
      </c>
    </row>
    <row r="2" spans="1:3" x14ac:dyDescent="0.3">
      <c r="A2" s="2" t="s">
        <v>36</v>
      </c>
    </row>
    <row r="4" spans="1:3" x14ac:dyDescent="0.3">
      <c r="A4" s="3" t="s">
        <v>261</v>
      </c>
      <c r="B4" s="4"/>
      <c r="C4" s="4"/>
    </row>
    <row r="5" spans="1:3" x14ac:dyDescent="0.3">
      <c r="A5" s="5" t="s">
        <v>37</v>
      </c>
      <c r="B5" s="6">
        <v>100</v>
      </c>
      <c r="C5" s="2" t="s">
        <v>38</v>
      </c>
    </row>
    <row r="6" spans="1:3" x14ac:dyDescent="0.3">
      <c r="A6" s="5" t="s">
        <v>39</v>
      </c>
      <c r="B6" s="6">
        <v>10</v>
      </c>
      <c r="C6" s="2" t="s">
        <v>40</v>
      </c>
    </row>
    <row r="7" spans="1:3" x14ac:dyDescent="0.3">
      <c r="A7" s="5" t="s">
        <v>41</v>
      </c>
      <c r="B7" s="6" t="s">
        <v>42</v>
      </c>
      <c r="C7" s="2" t="s">
        <v>43</v>
      </c>
    </row>
    <row r="8" spans="1:3" x14ac:dyDescent="0.3">
      <c r="A8" s="5" t="s">
        <v>44</v>
      </c>
      <c r="B8" s="6" t="s">
        <v>45</v>
      </c>
      <c r="C8" s="2" t="s">
        <v>46</v>
      </c>
    </row>
    <row r="10" spans="1:3" x14ac:dyDescent="0.3">
      <c r="A10" s="3" t="s">
        <v>262</v>
      </c>
      <c r="B10" s="4"/>
      <c r="C10" s="4"/>
    </row>
    <row r="11" spans="1:3" x14ac:dyDescent="0.3">
      <c r="A11" s="5" t="s">
        <v>47</v>
      </c>
      <c r="B11" s="6">
        <v>128</v>
      </c>
      <c r="C11" s="2" t="s">
        <v>48</v>
      </c>
    </row>
    <row r="12" spans="1:3" x14ac:dyDescent="0.3">
      <c r="A12" s="5" t="s">
        <v>49</v>
      </c>
      <c r="B12" s="6">
        <v>32</v>
      </c>
      <c r="C12" s="2" t="s">
        <v>50</v>
      </c>
    </row>
    <row r="13" spans="1:3" x14ac:dyDescent="0.3">
      <c r="A13" s="5" t="s">
        <v>51</v>
      </c>
      <c r="B13" s="6">
        <v>4</v>
      </c>
      <c r="C13" s="2" t="s">
        <v>52</v>
      </c>
    </row>
    <row r="14" spans="1:3" x14ac:dyDescent="0.3">
      <c r="A14" s="5" t="s">
        <v>53</v>
      </c>
      <c r="B14" s="6">
        <v>500000</v>
      </c>
      <c r="C14" s="2" t="s">
        <v>54</v>
      </c>
    </row>
    <row r="15" spans="1:3" x14ac:dyDescent="0.3">
      <c r="A15" s="5" t="s">
        <v>55</v>
      </c>
      <c r="B15" s="6" t="s">
        <v>56</v>
      </c>
      <c r="C15" s="2" t="s">
        <v>57</v>
      </c>
    </row>
    <row r="16" spans="1:3" x14ac:dyDescent="0.3">
      <c r="A16" s="5" t="s">
        <v>58</v>
      </c>
      <c r="B16" s="6">
        <v>0.72899999999999998</v>
      </c>
      <c r="C16" s="2" t="s">
        <v>59</v>
      </c>
    </row>
    <row r="18" spans="1:3" x14ac:dyDescent="0.3">
      <c r="A18" s="3" t="s">
        <v>60</v>
      </c>
      <c r="B18" s="4"/>
      <c r="C18" s="4"/>
    </row>
    <row r="19" spans="1:3" x14ac:dyDescent="0.3">
      <c r="A19" s="5" t="s">
        <v>61</v>
      </c>
      <c r="B19" s="6">
        <v>3</v>
      </c>
      <c r="C19" s="2" t="s">
        <v>62</v>
      </c>
    </row>
    <row r="20" spans="1:3" x14ac:dyDescent="0.3">
      <c r="A20" s="5" t="s">
        <v>63</v>
      </c>
      <c r="B20" s="6">
        <v>1</v>
      </c>
      <c r="C20" s="2" t="s">
        <v>64</v>
      </c>
    </row>
    <row r="21" spans="1:3" x14ac:dyDescent="0.3">
      <c r="A21" s="5" t="s">
        <v>65</v>
      </c>
      <c r="B21" s="6">
        <v>5</v>
      </c>
      <c r="C21" s="2" t="s">
        <v>66</v>
      </c>
    </row>
    <row r="23" spans="1:3" x14ac:dyDescent="0.3">
      <c r="A23" s="3" t="s">
        <v>67</v>
      </c>
      <c r="B23" s="4"/>
      <c r="C23" s="4"/>
    </row>
    <row r="24" spans="1:3" x14ac:dyDescent="0.3">
      <c r="A24" s="5" t="s">
        <v>68</v>
      </c>
      <c r="B24" s="6">
        <v>1500</v>
      </c>
      <c r="C24" s="2" t="s">
        <v>69</v>
      </c>
    </row>
    <row r="25" spans="1:3" x14ac:dyDescent="0.3">
      <c r="A25" s="5" t="s">
        <v>70</v>
      </c>
      <c r="B25" s="6">
        <v>10000</v>
      </c>
      <c r="C25" s="2" t="s">
        <v>71</v>
      </c>
    </row>
    <row r="26" spans="1:3" x14ac:dyDescent="0.3">
      <c r="A26" s="5" t="s">
        <v>72</v>
      </c>
      <c r="B26" s="6">
        <v>100</v>
      </c>
      <c r="C26" s="2" t="s">
        <v>73</v>
      </c>
    </row>
    <row r="27" spans="1:3" x14ac:dyDescent="0.3">
      <c r="A27" s="5" t="s">
        <v>74</v>
      </c>
      <c r="B27" s="6">
        <v>32</v>
      </c>
      <c r="C27" s="2" t="s">
        <v>75</v>
      </c>
    </row>
  </sheetData>
  <dataValidations count="3">
    <dataValidation type="list" sqref="B7" xr:uid="{00000000-0002-0000-0100-000000000000}">
      <formula1>"trimmed,full"</formula1>
    </dataValidation>
    <dataValidation type="list" sqref="B8" xr:uid="{00000000-0002-0000-0100-000001000000}">
      <formula1>"all,1,2,5,10"</formula1>
    </dataValidation>
    <dataValidation type="list" sqref="B15" xr:uid="{00000000-0002-0000-0100-000002000000}">
      <formula1>"measured_hold,loglinear,manual"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selection activeCell="B40" sqref="B40"/>
    </sheetView>
  </sheetViews>
  <sheetFormatPr defaultRowHeight="14.4" x14ac:dyDescent="0.3"/>
  <cols>
    <col min="1" max="1" width="38" customWidth="1"/>
    <col min="2" max="2" width="44.6640625" customWidth="1"/>
    <col min="3" max="3" width="84" customWidth="1"/>
  </cols>
  <sheetData>
    <row r="1" spans="1:3" ht="18" x14ac:dyDescent="0.35">
      <c r="A1" s="1" t="s">
        <v>76</v>
      </c>
    </row>
    <row r="2" spans="1:3" x14ac:dyDescent="0.3">
      <c r="A2" s="2" t="s">
        <v>77</v>
      </c>
    </row>
    <row r="4" spans="1:3" x14ac:dyDescent="0.3">
      <c r="A4" s="3" t="s">
        <v>78</v>
      </c>
      <c r="B4" s="4"/>
      <c r="C4" s="4"/>
    </row>
    <row r="5" spans="1:3" x14ac:dyDescent="0.3">
      <c r="A5" s="5" t="s">
        <v>79</v>
      </c>
      <c r="B5" s="7" t="str">
        <f>model_variant&amp;"|"&amp;n_realizations&amp;"|"&amp;realization_years</f>
        <v>trimmed|100|10</v>
      </c>
      <c r="C5" s="2" t="s">
        <v>80</v>
      </c>
    </row>
    <row r="6" spans="1:3" x14ac:dyDescent="0.3">
      <c r="A6" s="5" t="s">
        <v>81</v>
      </c>
      <c r="B6" s="7" t="str">
        <f>IF(ISNA(MATCH(model_variant&amp;"|"&amp;n_realizations&amp;"|"&amp;realization_years,Data_CostSurface!$A$5:$A$52,0)),"NO - using fitted fallback","YES - exact measured value")</f>
        <v>YES - exact measured value</v>
      </c>
      <c r="C6" s="2" t="s">
        <v>82</v>
      </c>
    </row>
    <row r="7" spans="1:3" x14ac:dyDescent="0.3">
      <c r="A7" s="5" t="s">
        <v>83</v>
      </c>
      <c r="B7" s="8">
        <f>IFERROR(INDEX(Data_CostSurface!$G$5:$G$52,MATCH(model_variant&amp;"|"&amp;n_realizations&amp;"|"&amp;realization_years,Data_CostSurface!$A$5:$A$52,0)),NA())</f>
        <v>173.8135</v>
      </c>
      <c r="C7" s="2" t="s">
        <v>84</v>
      </c>
    </row>
    <row r="8" spans="1:3" x14ac:dyDescent="0.3">
      <c r="A8" s="5" t="s">
        <v>85</v>
      </c>
      <c r="B8" s="8">
        <f>INDEX(Data_Fits!$B$5:$B$6,MATCH(model_variant,Data_Fits!$A$5:$A$6,0))+INDEX(Data_Fits!$C$5:$C$6,MATCH(model_variant,Data_Fits!$A$5:$A$6,0))*n_realizations*realization_years</f>
        <v>178.80449999999999</v>
      </c>
      <c r="C8" s="2" t="s">
        <v>86</v>
      </c>
    </row>
    <row r="9" spans="1:3" x14ac:dyDescent="0.3">
      <c r="A9" s="5" t="s">
        <v>87</v>
      </c>
      <c r="B9" s="8">
        <f>IFERROR($B$7,$B$8)</f>
        <v>173.8135</v>
      </c>
      <c r="C9" s="2" t="s">
        <v>88</v>
      </c>
    </row>
    <row r="10" spans="1:3" x14ac:dyDescent="0.3">
      <c r="A10" s="5" t="s">
        <v>89</v>
      </c>
      <c r="B10" s="9">
        <f>IFERROR(INDEX(Data_Packing!$G$5:$G$12,MATCH(ranks_per_node,Data_Packing!$A$5:$A$12,0)),1)</f>
        <v>1</v>
      </c>
      <c r="C10" s="2" t="s">
        <v>90</v>
      </c>
    </row>
    <row r="11" spans="1:3" x14ac:dyDescent="0.3">
      <c r="A11" s="5" t="s">
        <v>91</v>
      </c>
      <c r="B11" s="9">
        <f>IFERROR(INDEX(Data_Batching!$C$5:$C$9,MATCH(IF(realizations_per_run="all",20,realizations_per_run),Data_Batching!$A$5:$A$9,0)),1)</f>
        <v>1</v>
      </c>
      <c r="C11" s="2" t="s">
        <v>92</v>
      </c>
    </row>
    <row r="12" spans="1:3" x14ac:dyDescent="0.3">
      <c r="A12" s="5" t="s">
        <v>93</v>
      </c>
      <c r="B12" s="10">
        <f>$B$9*$B$10*$B$11</f>
        <v>173.8135</v>
      </c>
      <c r="C12" s="2" t="s">
        <v>94</v>
      </c>
    </row>
    <row r="14" spans="1:3" x14ac:dyDescent="0.3">
      <c r="A14" s="3" t="s">
        <v>95</v>
      </c>
      <c r="B14" s="4"/>
      <c r="C14" s="4"/>
    </row>
    <row r="15" spans="1:3" x14ac:dyDescent="0.3">
      <c r="A15" s="5" t="s">
        <v>96</v>
      </c>
      <c r="B15" s="11">
        <f>IFERROR(INDEX(Data_CostSurface!$H$5:$H$52,MATCH(model_variant&amp;"|"&amp;n_realizations&amp;"|"&amp;realization_years,Data_CostSurface!$A$5:$A$52,0)),INDEX(Data_Fits!$F$5:$F$6,MATCH(model_variant,Data_Fits!$A$5:$A$6,0))+INDEX(Data_Fits!$G$5:$G$6,MATCH(model_variant,Data_Fits!$A$5:$A$6,0))*n_realizations*realization_years)</f>
        <v>1198.8</v>
      </c>
      <c r="C15" s="2" t="s">
        <v>97</v>
      </c>
    </row>
    <row r="16" spans="1:3" x14ac:dyDescent="0.3">
      <c r="A16" s="5" t="s">
        <v>98</v>
      </c>
      <c r="B16" s="12">
        <f>$B$15*ranks_per_node/1024</f>
        <v>149.85</v>
      </c>
      <c r="C16" s="2" t="s">
        <v>99</v>
      </c>
    </row>
    <row r="17" spans="1:3" x14ac:dyDescent="0.3">
      <c r="A17" s="5" t="s">
        <v>100</v>
      </c>
      <c r="B17" s="12">
        <f>node_mem_gb*mem_safety_frac</f>
        <v>217.6</v>
      </c>
      <c r="C17" s="2" t="s">
        <v>101</v>
      </c>
    </row>
    <row r="18" spans="1:3" x14ac:dyDescent="0.3">
      <c r="A18" s="5" t="s">
        <v>102</v>
      </c>
      <c r="B18" s="13">
        <f>MIN(cores_per_node,FLOOR($B$17*1024/$B$15,1))</f>
        <v>128</v>
      </c>
      <c r="C18" s="2" t="s">
        <v>103</v>
      </c>
    </row>
    <row r="19" spans="1:3" x14ac:dyDescent="0.3">
      <c r="A19" s="5" t="s">
        <v>104</v>
      </c>
      <c r="B19" s="14" t="str">
        <f>IF(ranks_per_node&lt;=$B$18,"OK","WILL NOT FIT - reduce ranks_per_node to "&amp;$B$18)</f>
        <v>OK</v>
      </c>
      <c r="C19" s="2" t="s">
        <v>105</v>
      </c>
    </row>
    <row r="21" spans="1:3" x14ac:dyDescent="0.3">
      <c r="A21" s="3" t="s">
        <v>106</v>
      </c>
      <c r="B21" s="4"/>
      <c r="C21" s="4"/>
    </row>
    <row r="22" spans="1:3" x14ac:dyDescent="0.3">
      <c r="A22" s="5" t="s">
        <v>107</v>
      </c>
      <c r="B22" s="11">
        <f>nodes*ranks_per_node</f>
        <v>4096</v>
      </c>
      <c r="C22" s="2" t="s">
        <v>108</v>
      </c>
    </row>
    <row r="23" spans="1:3" x14ac:dyDescent="0.3">
      <c r="A23" s="5" t="s">
        <v>109</v>
      </c>
      <c r="B23" s="11">
        <f>$B$22-islands-1</f>
        <v>4091</v>
      </c>
      <c r="C23" s="2" t="s">
        <v>110</v>
      </c>
    </row>
    <row r="24" spans="1:3" x14ac:dyDescent="0.3">
      <c r="A24" s="5" t="s">
        <v>111</v>
      </c>
      <c r="B24" s="9">
        <f>IF(efficiency_method="manual",efficiency_manual,IF(efficiency_method="loglinear",MIN(1,MAX(0.05,Data_BorgScaling!$B$14+Data_BorgScaling!$B$15*LOG($B$23,2))),IFERROR(INDEX(Data_BorgScaling!$J$5:$J$10,MATCH($B$23,Data_BorgScaling!$D$5:$D$10,0)),0.729094)))</f>
        <v>0.72909400000000002</v>
      </c>
      <c r="C24" s="2" t="s">
        <v>112</v>
      </c>
    </row>
    <row r="25" spans="1:3" x14ac:dyDescent="0.3">
      <c r="A25" s="5" t="s">
        <v>113</v>
      </c>
      <c r="B25" s="7" t="str">
        <f>IF(efficiency_method="manual","manual",IF($B$23&gt;64,"YES - beyond measured 64 slots","NO - measured"))</f>
        <v>YES - beyond measured 64 slots</v>
      </c>
      <c r="C25" s="2" t="s">
        <v>114</v>
      </c>
    </row>
    <row r="27" spans="1:3" x14ac:dyDescent="0.3">
      <c r="A27" s="3" t="s">
        <v>115</v>
      </c>
      <c r="B27" s="4"/>
      <c r="C27" s="4"/>
    </row>
    <row r="28" spans="1:3" x14ac:dyDescent="0.3">
      <c r="A28" s="5" t="s">
        <v>116</v>
      </c>
      <c r="B28" s="10">
        <f>nfe_total*$B$12/($B$23*$B$24)/3600</f>
        <v>8.0935304435152116</v>
      </c>
      <c r="C28" s="2" t="s">
        <v>117</v>
      </c>
    </row>
    <row r="29" spans="1:3" x14ac:dyDescent="0.3">
      <c r="A29" s="5" t="s">
        <v>118</v>
      </c>
      <c r="B29" s="7" t="str">
        <f>TEXT(INT($B$28/24),"0")&amp;"d "&amp;TEXT(MOD($B$28,24),"0.0")&amp;"h"</f>
        <v>0d 8.1h</v>
      </c>
      <c r="C29" s="2" t="s">
        <v>119</v>
      </c>
    </row>
    <row r="30" spans="1:3" x14ac:dyDescent="0.3">
      <c r="A30" s="5" t="s">
        <v>120</v>
      </c>
      <c r="B30" s="14" t="str">
        <f>IF($B$28&lt;=96,"OK - fits a single 96 h job","EXCEEDS 96 h - split or add nodes")</f>
        <v>OK - fits a single 96 h job</v>
      </c>
      <c r="C30" s="2"/>
    </row>
    <row r="31" spans="1:3" x14ac:dyDescent="0.3">
      <c r="A31" s="5" t="s">
        <v>121</v>
      </c>
      <c r="B31" s="15">
        <f>nodes*$B$28*su_per_node_hr</f>
        <v>33151.100696638307</v>
      </c>
      <c r="C31" s="2" t="s">
        <v>122</v>
      </c>
    </row>
    <row r="33" spans="1:3" x14ac:dyDescent="0.3">
      <c r="A33" s="3" t="s">
        <v>123</v>
      </c>
      <c r="B33" s="4"/>
      <c r="C33" s="4"/>
    </row>
    <row r="34" spans="1:3" x14ac:dyDescent="0.3">
      <c r="A34" s="5" t="s">
        <v>124</v>
      </c>
      <c r="B34" s="11">
        <f>n_designs*n_draws*n_seeds</f>
        <v>15</v>
      </c>
      <c r="C34" s="2" t="s">
        <v>125</v>
      </c>
    </row>
    <row r="35" spans="1:3" x14ac:dyDescent="0.3">
      <c r="A35" s="5" t="s">
        <v>126</v>
      </c>
      <c r="B35" s="11">
        <f>$B$34*$B$31</f>
        <v>497266.51044957462</v>
      </c>
      <c r="C35" s="2" t="s">
        <v>127</v>
      </c>
    </row>
    <row r="36" spans="1:3" x14ac:dyDescent="0.3">
      <c r="A36" s="5" t="s">
        <v>128</v>
      </c>
      <c r="B36" s="16">
        <f>$B$34*$B$28</f>
        <v>121.40295665272818</v>
      </c>
      <c r="C36" s="2" t="s">
        <v>129</v>
      </c>
    </row>
    <row r="37" spans="1:3" x14ac:dyDescent="0.3">
      <c r="A37" s="5" t="s">
        <v>130</v>
      </c>
      <c r="B37" s="8">
        <f>$B$28</f>
        <v>8.0935304435152116</v>
      </c>
      <c r="C37" s="2" t="s">
        <v>131</v>
      </c>
    </row>
    <row r="39" spans="1:3" x14ac:dyDescent="0.3">
      <c r="A39" s="3" t="s">
        <v>132</v>
      </c>
      <c r="B39" s="4"/>
      <c r="C39" s="4"/>
    </row>
    <row r="40" spans="1:3" x14ac:dyDescent="0.3">
      <c r="A40" s="5" t="s">
        <v>133</v>
      </c>
      <c r="B40" s="8">
        <f>IFERROR(INDEX(Data_CostSurface!$G$5:$G$52,MATCH("full|"&amp;reeval_n_realizations&amp;"|"&amp;reeval_years,Data_CostSurface!$A$5:$A$52,0)),INDEX(Data_Fits!$B$5:$B$6,MATCH("full",Data_Fits!$A$5:$A$6,0))+INDEX(Data_Fits!$C$5:$C$6,MATCH("full",Data_Fits!$A$5:$A$6,0))*reeval_n_realizations*reeval_years)</f>
        <v>204492.75769999999</v>
      </c>
      <c r="C40" s="2" t="s">
        <v>134</v>
      </c>
    </row>
    <row r="41" spans="1:3" x14ac:dyDescent="0.3">
      <c r="A41" s="5" t="s">
        <v>135</v>
      </c>
      <c r="B41" s="11">
        <f>reeval_policies*$B$40/3600*su_per_node_hr/ranks_per_node</f>
        <v>85205.315708333321</v>
      </c>
      <c r="C41" s="2" t="s">
        <v>136</v>
      </c>
    </row>
    <row r="42" spans="1:3" x14ac:dyDescent="0.3">
      <c r="A42" s="5" t="s">
        <v>137</v>
      </c>
      <c r="B42" s="8">
        <f>reeval_policies*$B$40/(reeval_nodes*ranks_per_node)/3600</f>
        <v>20.802079030354815</v>
      </c>
      <c r="C42" s="2" t="s">
        <v>138</v>
      </c>
    </row>
    <row r="44" spans="1:3" x14ac:dyDescent="0.3">
      <c r="A44" s="5" t="s">
        <v>139</v>
      </c>
      <c r="B44" s="15">
        <f>$B$35+$B$41</f>
        <v>582471.82615790796</v>
      </c>
      <c r="C44" s="2" t="s">
        <v>140</v>
      </c>
    </row>
    <row r="45" spans="1:3" x14ac:dyDescent="0.3">
      <c r="A45" s="5" t="s">
        <v>141</v>
      </c>
      <c r="B45" s="17">
        <f>$B$44/allocation_su</f>
        <v>0.77662910154387732</v>
      </c>
      <c r="C45" s="2" t="s">
        <v>142</v>
      </c>
    </row>
    <row r="46" spans="1:3" x14ac:dyDescent="0.3">
      <c r="A46" s="5" t="s">
        <v>143</v>
      </c>
      <c r="B46" s="14" t="str">
        <f>IF($B$45&lt;=1,"OK - fits in allocation ("&amp;TEXT(allocation_su-$B$44,"#,##0")&amp;" SU spare)","OVER BUDGET by "&amp;TEXT($B$44-allocation_su,"#,##0")&amp;" SU")</f>
        <v>OK - fits in allocation (167,528 SU spare)</v>
      </c>
      <c r="C46" s="2"/>
    </row>
    <row r="49" spans="1:2" x14ac:dyDescent="0.3">
      <c r="A49" s="24" t="s">
        <v>260</v>
      </c>
      <c r="B49" s="25">
        <f>750000-B44</f>
        <v>167528.17384209204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I5" sqref="I5"/>
    </sheetView>
  </sheetViews>
  <sheetFormatPr defaultRowHeight="14.4" x14ac:dyDescent="0.3"/>
  <cols>
    <col min="1" max="10" width="15" customWidth="1"/>
  </cols>
  <sheetData>
    <row r="1" spans="1:10" ht="18" x14ac:dyDescent="0.35">
      <c r="A1" s="1" t="s">
        <v>144</v>
      </c>
    </row>
    <row r="2" spans="1:10" x14ac:dyDescent="0.3">
      <c r="A2" s="2" t="s">
        <v>145</v>
      </c>
    </row>
    <row r="4" spans="1:10" ht="28.8" x14ac:dyDescent="0.3">
      <c r="A4" s="18" t="s">
        <v>49</v>
      </c>
      <c r="B4" s="18" t="s">
        <v>47</v>
      </c>
      <c r="C4" s="18" t="s">
        <v>107</v>
      </c>
      <c r="D4" s="18" t="s">
        <v>146</v>
      </c>
      <c r="E4" s="18" t="s">
        <v>111</v>
      </c>
      <c r="F4" s="18" t="s">
        <v>116</v>
      </c>
      <c r="G4" s="18" t="s">
        <v>121</v>
      </c>
      <c r="H4" s="18" t="s">
        <v>147</v>
      </c>
      <c r="I4" s="18" t="s">
        <v>148</v>
      </c>
      <c r="J4" s="18" t="s">
        <v>149</v>
      </c>
    </row>
    <row r="5" spans="1:10" x14ac:dyDescent="0.3">
      <c r="A5" s="19">
        <v>1</v>
      </c>
      <c r="B5" s="19">
        <f t="shared" ref="B5:B10" si="0">ranks_per_node</f>
        <v>128</v>
      </c>
      <c r="C5" s="19">
        <f t="shared" ref="C5:C10" si="1">A5*B5</f>
        <v>128</v>
      </c>
      <c r="D5" s="19">
        <f t="shared" ref="D5:D10" si="2">C5-islands-1</f>
        <v>123</v>
      </c>
      <c r="E5" s="20">
        <f>IF(efficiency_method="manual",efficiency_manual,IF(efficiency_method="loglinear",MIN(1,MAX(0.05,Data_BorgScaling!$B$14+Data_BorgScaling!$B$15*LOG(D5,2))),IFERROR(INDEX(Data_BorgScaling!$J$5:$J$10,MATCH(D5,Data_BorgScaling!$D$5:$D$10,0)),0.729094)))</f>
        <v>0.72909400000000002</v>
      </c>
      <c r="F5" s="10">
        <f>nfe_total*Calculator!$B$12/(D5*E5)/3600</f>
        <v>269.19213857252629</v>
      </c>
      <c r="G5" s="21">
        <f t="shared" ref="G5:G10" si="3">A5*F5*su_per_node_hr</f>
        <v>34456.593737283365</v>
      </c>
      <c r="H5" s="15">
        <f>G5*n_designs*n_draws*n_seeds+Calculator!$B$41</f>
        <v>602054.22176758375</v>
      </c>
      <c r="I5" s="22">
        <f t="shared" ref="I5:I10" si="4">H5/allocation_su</f>
        <v>0.80273896235677833</v>
      </c>
      <c r="J5" s="19" t="str">
        <f t="shared" ref="J5:J10" si="5">IF(F5&lt;=96,"OK","NO")</f>
        <v>NO</v>
      </c>
    </row>
    <row r="6" spans="1:10" x14ac:dyDescent="0.3">
      <c r="A6" s="19">
        <v>2</v>
      </c>
      <c r="B6" s="19">
        <f t="shared" si="0"/>
        <v>128</v>
      </c>
      <c r="C6" s="19">
        <f t="shared" si="1"/>
        <v>256</v>
      </c>
      <c r="D6" s="19">
        <f t="shared" si="2"/>
        <v>251</v>
      </c>
      <c r="E6" s="20">
        <f>IF(efficiency_method="manual",efficiency_manual,IF(efficiency_method="loglinear",MIN(1,MAX(0.05,Data_BorgScaling!$B$14+Data_BorgScaling!$B$15*LOG(D6,2))),IFERROR(INDEX(Data_BorgScaling!$J$5:$J$10,MATCH(D6,Data_BorgScaling!$D$5:$D$10,0)),0.729094)))</f>
        <v>0.72909400000000002</v>
      </c>
      <c r="F6" s="10">
        <f>nfe_total*Calculator!$B$12/(D6*E6)/3600</f>
        <v>131.91487268693518</v>
      </c>
      <c r="G6" s="21">
        <f t="shared" si="3"/>
        <v>33770.207407855407</v>
      </c>
      <c r="H6" s="15">
        <f>G6*n_designs*n_draws*n_seeds+Calculator!$B$41</f>
        <v>591758.42682616448</v>
      </c>
      <c r="I6" s="22">
        <f t="shared" si="4"/>
        <v>0.7890112357682193</v>
      </c>
      <c r="J6" s="19" t="str">
        <f t="shared" si="5"/>
        <v>NO</v>
      </c>
    </row>
    <row r="7" spans="1:10" x14ac:dyDescent="0.3">
      <c r="A7" s="19">
        <v>4</v>
      </c>
      <c r="B7" s="19">
        <f t="shared" si="0"/>
        <v>128</v>
      </c>
      <c r="C7" s="19">
        <f t="shared" si="1"/>
        <v>512</v>
      </c>
      <c r="D7" s="19">
        <f t="shared" si="2"/>
        <v>507</v>
      </c>
      <c r="E7" s="20">
        <f>IF(efficiency_method="manual",efficiency_manual,IF(efficiency_method="loglinear",MIN(1,MAX(0.05,Data_BorgScaling!$B$14+Data_BorgScaling!$B$15*LOG(D7,2))),IFERROR(INDEX(Data_BorgScaling!$J$5:$J$10,MATCH(D7,Data_BorgScaling!$D$5:$D$10,0)),0.729094)))</f>
        <v>0.72909400000000002</v>
      </c>
      <c r="F7" s="10">
        <f>nfe_total*Calculator!$B$12/(D7*E7)/3600</f>
        <v>65.306968529429454</v>
      </c>
      <c r="G7" s="21">
        <f t="shared" si="3"/>
        <v>33437.167887067881</v>
      </c>
      <c r="H7" s="15">
        <f>G7*n_designs*n_draws*n_seeds+Calculator!$B$41</f>
        <v>586762.83401435148</v>
      </c>
      <c r="I7" s="22">
        <f t="shared" si="4"/>
        <v>0.78235044535246867</v>
      </c>
      <c r="J7" s="19" t="str">
        <f t="shared" si="5"/>
        <v>OK</v>
      </c>
    </row>
    <row r="8" spans="1:10" x14ac:dyDescent="0.3">
      <c r="A8" s="19">
        <v>8</v>
      </c>
      <c r="B8" s="19">
        <f t="shared" si="0"/>
        <v>128</v>
      </c>
      <c r="C8" s="19">
        <f t="shared" si="1"/>
        <v>1024</v>
      </c>
      <c r="D8" s="19">
        <f t="shared" si="2"/>
        <v>1019</v>
      </c>
      <c r="E8" s="20">
        <f>IF(efficiency_method="manual",efficiency_manual,IF(efficiency_method="loglinear",MIN(1,MAX(0.05,Data_BorgScaling!$B$14+Data_BorgScaling!$B$15*LOG(D8,2))),IFERROR(INDEX(Data_BorgScaling!$J$5:$J$10,MATCH(D8,Data_BorgScaling!$D$5:$D$10,0)),0.729094)))</f>
        <v>0.72909400000000002</v>
      </c>
      <c r="F8" s="10">
        <f>nfe_total*Calculator!$B$12/(D8*E8)/3600</f>
        <v>32.493261083828003</v>
      </c>
      <c r="G8" s="21">
        <f t="shared" si="3"/>
        <v>33273.099349839875</v>
      </c>
      <c r="H8" s="15">
        <f>G8*n_designs*n_draws*n_seeds+Calculator!$B$41</f>
        <v>584301.80595593143</v>
      </c>
      <c r="I8" s="22">
        <f t="shared" si="4"/>
        <v>0.77906907460790853</v>
      </c>
      <c r="J8" s="19" t="str">
        <f t="shared" si="5"/>
        <v>OK</v>
      </c>
    </row>
    <row r="9" spans="1:10" x14ac:dyDescent="0.3">
      <c r="A9" s="19">
        <v>16</v>
      </c>
      <c r="B9" s="19">
        <f t="shared" si="0"/>
        <v>128</v>
      </c>
      <c r="C9" s="19">
        <f t="shared" si="1"/>
        <v>2048</v>
      </c>
      <c r="D9" s="19">
        <f t="shared" si="2"/>
        <v>2043</v>
      </c>
      <c r="E9" s="20">
        <f>IF(efficiency_method="manual",efficiency_manual,IF(efficiency_method="loglinear",MIN(1,MAX(0.05,Data_BorgScaling!$B$14+Data_BorgScaling!$B$15*LOG(D9,2))),IFERROR(INDEX(Data_BorgScaling!$J$5:$J$10,MATCH(D9,Data_BorgScaling!$D$5:$D$10,0)),0.729094)))</f>
        <v>0.72909400000000002</v>
      </c>
      <c r="F9" s="10">
        <f>nfe_total*Calculator!$B$12/(D9*E9)/3600</f>
        <v>16.206868842105106</v>
      </c>
      <c r="G9" s="21">
        <f t="shared" si="3"/>
        <v>33191.667388631256</v>
      </c>
      <c r="H9" s="15">
        <f>G9*n_designs*n_draws*n_seeds+Calculator!$B$41</f>
        <v>583080.32653780212</v>
      </c>
      <c r="I9" s="22">
        <f t="shared" si="4"/>
        <v>0.77744043538373619</v>
      </c>
      <c r="J9" s="19" t="str">
        <f t="shared" si="5"/>
        <v>OK</v>
      </c>
    </row>
    <row r="10" spans="1:10" x14ac:dyDescent="0.3">
      <c r="A10" s="19">
        <v>32</v>
      </c>
      <c r="B10" s="19">
        <f t="shared" si="0"/>
        <v>128</v>
      </c>
      <c r="C10" s="19">
        <f t="shared" si="1"/>
        <v>4096</v>
      </c>
      <c r="D10" s="19">
        <f t="shared" si="2"/>
        <v>4091</v>
      </c>
      <c r="E10" s="20">
        <f>IF(efficiency_method="manual",efficiency_manual,IF(efficiency_method="loglinear",MIN(1,MAX(0.05,Data_BorgScaling!$B$14+Data_BorgScaling!$B$15*LOG(D10,2))),IFERROR(INDEX(Data_BorgScaling!$J$5:$J$10,MATCH(D10,Data_BorgScaling!$D$5:$D$10,0)),0.729094)))</f>
        <v>0.72909400000000002</v>
      </c>
      <c r="F10" s="10">
        <f>nfe_total*Calculator!$B$12/(D10*E10)/3600</f>
        <v>8.0935304435152116</v>
      </c>
      <c r="G10" s="21">
        <f t="shared" si="3"/>
        <v>33151.100696638307</v>
      </c>
      <c r="H10" s="15">
        <f>G10*n_designs*n_draws*n_seeds+Calculator!$B$41</f>
        <v>582471.82615790784</v>
      </c>
      <c r="I10" s="22">
        <f t="shared" si="4"/>
        <v>0.7766291015438771</v>
      </c>
      <c r="J10" s="19" t="str">
        <f t="shared" si="5"/>
        <v>OK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15" customWidth="1"/>
    <col min="3" max="3" width="16" customWidth="1"/>
    <col min="4" max="4" width="19" customWidth="1"/>
    <col min="5" max="5" width="16" customWidth="1"/>
    <col min="6" max="6" width="14" customWidth="1"/>
    <col min="7" max="7" width="20" customWidth="1"/>
    <col min="8" max="8" width="12" customWidth="1"/>
    <col min="9" max="9" width="16" customWidth="1"/>
  </cols>
  <sheetData>
    <row r="1" spans="1:9" ht="18" x14ac:dyDescent="0.35">
      <c r="A1" s="1" t="s">
        <v>150</v>
      </c>
    </row>
    <row r="2" spans="1:9" x14ac:dyDescent="0.3">
      <c r="A2" s="2" t="s">
        <v>151</v>
      </c>
    </row>
    <row r="4" spans="1:9" x14ac:dyDescent="0.3">
      <c r="A4" s="18" t="s">
        <v>152</v>
      </c>
      <c r="B4" s="18" t="s">
        <v>41</v>
      </c>
      <c r="C4" s="18" t="s">
        <v>37</v>
      </c>
      <c r="D4" s="18" t="s">
        <v>39</v>
      </c>
      <c r="E4" s="18" t="s">
        <v>153</v>
      </c>
      <c r="F4" s="18" t="s">
        <v>154</v>
      </c>
      <c r="G4" s="18" t="s">
        <v>155</v>
      </c>
      <c r="H4" s="18" t="s">
        <v>156</v>
      </c>
      <c r="I4" s="18" t="s">
        <v>157</v>
      </c>
    </row>
    <row r="5" spans="1:9" x14ac:dyDescent="0.3">
      <c r="A5" s="19" t="s">
        <v>158</v>
      </c>
      <c r="B5" s="19" t="s">
        <v>159</v>
      </c>
      <c r="C5" s="19">
        <v>1</v>
      </c>
      <c r="D5" s="19">
        <v>5</v>
      </c>
      <c r="E5" s="19">
        <v>5</v>
      </c>
      <c r="F5" s="19">
        <v>128</v>
      </c>
      <c r="G5" s="20">
        <v>3.121</v>
      </c>
      <c r="H5" s="23">
        <v>404.9</v>
      </c>
      <c r="I5" s="19" t="b">
        <v>1</v>
      </c>
    </row>
    <row r="6" spans="1:9" x14ac:dyDescent="0.3">
      <c r="A6" s="19" t="s">
        <v>160</v>
      </c>
      <c r="B6" s="19" t="s">
        <v>159</v>
      </c>
      <c r="C6" s="19">
        <v>10</v>
      </c>
      <c r="D6" s="19">
        <v>5</v>
      </c>
      <c r="E6" s="19">
        <v>50</v>
      </c>
      <c r="F6" s="19">
        <v>128</v>
      </c>
      <c r="G6" s="20">
        <v>12.082000000000001</v>
      </c>
      <c r="H6" s="23">
        <v>444.1</v>
      </c>
      <c r="I6" s="19" t="b">
        <v>1</v>
      </c>
    </row>
    <row r="7" spans="1:9" x14ac:dyDescent="0.3">
      <c r="A7" s="19" t="s">
        <v>161</v>
      </c>
      <c r="B7" s="19" t="s">
        <v>159</v>
      </c>
      <c r="C7" s="19">
        <v>20</v>
      </c>
      <c r="D7" s="19">
        <v>5</v>
      </c>
      <c r="E7" s="19">
        <v>100</v>
      </c>
      <c r="F7" s="19">
        <v>128</v>
      </c>
      <c r="G7" s="20">
        <v>21.879000000000001</v>
      </c>
      <c r="H7" s="23">
        <v>488.8</v>
      </c>
      <c r="I7" s="19" t="b">
        <v>1</v>
      </c>
    </row>
    <row r="8" spans="1:9" x14ac:dyDescent="0.3">
      <c r="A8" s="19" t="s">
        <v>162</v>
      </c>
      <c r="B8" s="19" t="s">
        <v>159</v>
      </c>
      <c r="C8" s="19">
        <v>50</v>
      </c>
      <c r="D8" s="19">
        <v>5</v>
      </c>
      <c r="E8" s="19">
        <v>250</v>
      </c>
      <c r="F8" s="19">
        <v>128</v>
      </c>
      <c r="G8" s="20">
        <v>50.954500000000003</v>
      </c>
      <c r="H8" s="23">
        <v>624</v>
      </c>
      <c r="I8" s="19" t="b">
        <v>1</v>
      </c>
    </row>
    <row r="9" spans="1:9" x14ac:dyDescent="0.3">
      <c r="A9" s="19" t="s">
        <v>163</v>
      </c>
      <c r="B9" s="19" t="s">
        <v>159</v>
      </c>
      <c r="C9" s="19">
        <v>100</v>
      </c>
      <c r="D9" s="19">
        <v>5</v>
      </c>
      <c r="E9" s="19">
        <v>500</v>
      </c>
      <c r="F9" s="19">
        <v>128</v>
      </c>
      <c r="G9" s="20">
        <v>99.808499999999995</v>
      </c>
      <c r="H9" s="23">
        <v>809.8</v>
      </c>
      <c r="I9" s="19" t="b">
        <v>1</v>
      </c>
    </row>
    <row r="10" spans="1:9" x14ac:dyDescent="0.3">
      <c r="A10" s="19" t="s">
        <v>164</v>
      </c>
      <c r="B10" s="19" t="s">
        <v>159</v>
      </c>
      <c r="C10" s="19">
        <v>200</v>
      </c>
      <c r="D10" s="19">
        <v>5</v>
      </c>
      <c r="E10" s="19">
        <v>1000</v>
      </c>
      <c r="F10" s="19">
        <v>128</v>
      </c>
      <c r="G10" s="23">
        <v>206.797</v>
      </c>
      <c r="H10" s="23">
        <v>937.2</v>
      </c>
      <c r="I10" s="19" t="b">
        <v>1</v>
      </c>
    </row>
    <row r="11" spans="1:9" x14ac:dyDescent="0.3">
      <c r="A11" s="19" t="s">
        <v>165</v>
      </c>
      <c r="B11" s="19" t="s">
        <v>159</v>
      </c>
      <c r="C11" s="19">
        <v>1</v>
      </c>
      <c r="D11" s="19">
        <v>10</v>
      </c>
      <c r="E11" s="19">
        <v>10</v>
      </c>
      <c r="F11" s="19">
        <v>128</v>
      </c>
      <c r="G11" s="20">
        <v>5.3615000000000004</v>
      </c>
      <c r="H11" s="23">
        <v>416.5</v>
      </c>
      <c r="I11" s="19" t="b">
        <v>1</v>
      </c>
    </row>
    <row r="12" spans="1:9" x14ac:dyDescent="0.3">
      <c r="A12" s="19" t="s">
        <v>166</v>
      </c>
      <c r="B12" s="19" t="s">
        <v>159</v>
      </c>
      <c r="C12" s="19">
        <v>10</v>
      </c>
      <c r="D12" s="19">
        <v>10</v>
      </c>
      <c r="E12" s="19">
        <v>100</v>
      </c>
      <c r="F12" s="19">
        <v>128</v>
      </c>
      <c r="G12" s="20">
        <v>23.445</v>
      </c>
      <c r="H12" s="23">
        <v>496.9</v>
      </c>
      <c r="I12" s="19" t="b">
        <v>1</v>
      </c>
    </row>
    <row r="13" spans="1:9" x14ac:dyDescent="0.3">
      <c r="A13" s="19" t="s">
        <v>167</v>
      </c>
      <c r="B13" s="19" t="s">
        <v>159</v>
      </c>
      <c r="C13" s="19">
        <v>20</v>
      </c>
      <c r="D13" s="19">
        <v>10</v>
      </c>
      <c r="E13" s="19">
        <v>200</v>
      </c>
      <c r="F13" s="19">
        <v>128</v>
      </c>
      <c r="G13" s="20">
        <v>43.371000000000002</v>
      </c>
      <c r="H13" s="23">
        <v>583.6</v>
      </c>
      <c r="I13" s="19" t="b">
        <v>1</v>
      </c>
    </row>
    <row r="14" spans="1:9" x14ac:dyDescent="0.3">
      <c r="A14" s="19" t="s">
        <v>168</v>
      </c>
      <c r="B14" s="19" t="s">
        <v>159</v>
      </c>
      <c r="C14" s="19">
        <v>50</v>
      </c>
      <c r="D14" s="19">
        <v>10</v>
      </c>
      <c r="E14" s="19">
        <v>500</v>
      </c>
      <c r="F14" s="19">
        <v>128</v>
      </c>
      <c r="G14" s="23">
        <v>100.785</v>
      </c>
      <c r="H14" s="23">
        <v>848.5</v>
      </c>
      <c r="I14" s="19" t="b">
        <v>1</v>
      </c>
    </row>
    <row r="15" spans="1:9" x14ac:dyDescent="0.3">
      <c r="A15" s="19" t="s">
        <v>169</v>
      </c>
      <c r="B15" s="19" t="s">
        <v>159</v>
      </c>
      <c r="C15" s="19">
        <v>100</v>
      </c>
      <c r="D15" s="19">
        <v>10</v>
      </c>
      <c r="E15" s="19">
        <v>1000</v>
      </c>
      <c r="F15" s="19">
        <v>128</v>
      </c>
      <c r="G15" s="23">
        <v>202.089</v>
      </c>
      <c r="H15" s="23">
        <v>1140.3</v>
      </c>
      <c r="I15" s="19" t="b">
        <v>1</v>
      </c>
    </row>
    <row r="16" spans="1:9" x14ac:dyDescent="0.3">
      <c r="A16" s="19" t="s">
        <v>170</v>
      </c>
      <c r="B16" s="19" t="s">
        <v>159</v>
      </c>
      <c r="C16" s="19">
        <v>200</v>
      </c>
      <c r="D16" s="19">
        <v>10</v>
      </c>
      <c r="E16" s="19">
        <v>2000</v>
      </c>
      <c r="F16" s="19">
        <v>128</v>
      </c>
      <c r="G16" s="23">
        <v>420.63900000000001</v>
      </c>
      <c r="H16" s="23">
        <v>1470.5</v>
      </c>
      <c r="I16" s="19" t="b">
        <v>1</v>
      </c>
    </row>
    <row r="17" spans="1:9" x14ac:dyDescent="0.3">
      <c r="A17" s="19" t="s">
        <v>171</v>
      </c>
      <c r="B17" s="19" t="s">
        <v>159</v>
      </c>
      <c r="C17" s="19">
        <v>1</v>
      </c>
      <c r="D17" s="19">
        <v>20</v>
      </c>
      <c r="E17" s="19">
        <v>20</v>
      </c>
      <c r="F17" s="19">
        <v>128</v>
      </c>
      <c r="G17" s="20">
        <v>9.7795000000000005</v>
      </c>
      <c r="H17" s="23">
        <v>413.6</v>
      </c>
      <c r="I17" s="19" t="b">
        <v>1</v>
      </c>
    </row>
    <row r="18" spans="1:9" x14ac:dyDescent="0.3">
      <c r="A18" s="19" t="s">
        <v>172</v>
      </c>
      <c r="B18" s="19" t="s">
        <v>159</v>
      </c>
      <c r="C18" s="19">
        <v>10</v>
      </c>
      <c r="D18" s="19">
        <v>20</v>
      </c>
      <c r="E18" s="19">
        <v>200</v>
      </c>
      <c r="F18" s="19">
        <v>128</v>
      </c>
      <c r="G18" s="20">
        <v>46.015500000000003</v>
      </c>
      <c r="H18" s="23">
        <v>576.5</v>
      </c>
      <c r="I18" s="19" t="b">
        <v>1</v>
      </c>
    </row>
    <row r="19" spans="1:9" x14ac:dyDescent="0.3">
      <c r="A19" s="19" t="s">
        <v>173</v>
      </c>
      <c r="B19" s="19" t="s">
        <v>159</v>
      </c>
      <c r="C19" s="19">
        <v>20</v>
      </c>
      <c r="D19" s="19">
        <v>20</v>
      </c>
      <c r="E19" s="19">
        <v>400</v>
      </c>
      <c r="F19" s="19">
        <v>128</v>
      </c>
      <c r="G19" s="20">
        <v>84.578000000000003</v>
      </c>
      <c r="H19" s="23">
        <v>753.8</v>
      </c>
      <c r="I19" s="19" t="b">
        <v>1</v>
      </c>
    </row>
    <row r="20" spans="1:9" x14ac:dyDescent="0.3">
      <c r="A20" s="19" t="s">
        <v>174</v>
      </c>
      <c r="B20" s="19" t="s">
        <v>159</v>
      </c>
      <c r="C20" s="19">
        <v>50</v>
      </c>
      <c r="D20" s="19">
        <v>20</v>
      </c>
      <c r="E20" s="19">
        <v>1000</v>
      </c>
      <c r="F20" s="19">
        <v>128</v>
      </c>
      <c r="G20" s="23">
        <v>200.40799999999999</v>
      </c>
      <c r="H20" s="23">
        <v>1282.7</v>
      </c>
      <c r="I20" s="19" t="b">
        <v>1</v>
      </c>
    </row>
    <row r="21" spans="1:9" x14ac:dyDescent="0.3">
      <c r="A21" s="19" t="s">
        <v>175</v>
      </c>
      <c r="B21" s="19" t="s">
        <v>159</v>
      </c>
      <c r="C21" s="19">
        <v>100</v>
      </c>
      <c r="D21" s="19">
        <v>20</v>
      </c>
      <c r="E21" s="19">
        <v>2000</v>
      </c>
      <c r="F21" s="19">
        <v>128</v>
      </c>
      <c r="G21" s="23">
        <v>401.04</v>
      </c>
      <c r="H21" s="23">
        <v>1465</v>
      </c>
      <c r="I21" s="19" t="b">
        <v>1</v>
      </c>
    </row>
    <row r="22" spans="1:9" x14ac:dyDescent="0.3">
      <c r="A22" s="19" t="s">
        <v>176</v>
      </c>
      <c r="B22" s="19" t="s">
        <v>159</v>
      </c>
      <c r="C22" s="19">
        <v>200</v>
      </c>
      <c r="D22" s="19">
        <v>20</v>
      </c>
      <c r="E22" s="19">
        <v>4000</v>
      </c>
      <c r="F22" s="19">
        <v>64</v>
      </c>
      <c r="G22" s="23">
        <v>862.28150000000005</v>
      </c>
      <c r="H22" s="23">
        <v>2514</v>
      </c>
      <c r="I22" s="19" t="b">
        <v>0</v>
      </c>
    </row>
    <row r="23" spans="1:9" x14ac:dyDescent="0.3">
      <c r="A23" s="19" t="s">
        <v>177</v>
      </c>
      <c r="B23" s="19" t="s">
        <v>159</v>
      </c>
      <c r="C23" s="19">
        <v>1</v>
      </c>
      <c r="D23" s="19">
        <v>30</v>
      </c>
      <c r="E23" s="19">
        <v>30</v>
      </c>
      <c r="F23" s="19">
        <v>128</v>
      </c>
      <c r="G23" s="20">
        <v>14.4155</v>
      </c>
      <c r="H23" s="23">
        <v>451.4</v>
      </c>
      <c r="I23" s="19" t="b">
        <v>1</v>
      </c>
    </row>
    <row r="24" spans="1:9" x14ac:dyDescent="0.3">
      <c r="A24" s="19" t="s">
        <v>178</v>
      </c>
      <c r="B24" s="19" t="s">
        <v>159</v>
      </c>
      <c r="C24" s="19">
        <v>10</v>
      </c>
      <c r="D24" s="19">
        <v>30</v>
      </c>
      <c r="E24" s="19">
        <v>300</v>
      </c>
      <c r="F24" s="19">
        <v>128</v>
      </c>
      <c r="G24" s="20">
        <v>68.615000000000009</v>
      </c>
      <c r="H24" s="23">
        <v>691.5</v>
      </c>
      <c r="I24" s="19" t="b">
        <v>1</v>
      </c>
    </row>
    <row r="25" spans="1:9" x14ac:dyDescent="0.3">
      <c r="A25" s="19" t="s">
        <v>179</v>
      </c>
      <c r="B25" s="19" t="s">
        <v>159</v>
      </c>
      <c r="C25" s="19">
        <v>20</v>
      </c>
      <c r="D25" s="19">
        <v>30</v>
      </c>
      <c r="E25" s="19">
        <v>600</v>
      </c>
      <c r="F25" s="19">
        <v>128</v>
      </c>
      <c r="G25" s="23">
        <v>126.35899999999999</v>
      </c>
      <c r="H25" s="23">
        <v>954.7</v>
      </c>
      <c r="I25" s="19" t="b">
        <v>1</v>
      </c>
    </row>
    <row r="26" spans="1:9" x14ac:dyDescent="0.3">
      <c r="A26" s="19" t="s">
        <v>180</v>
      </c>
      <c r="B26" s="19" t="s">
        <v>159</v>
      </c>
      <c r="C26" s="19">
        <v>50</v>
      </c>
      <c r="D26" s="19">
        <v>30</v>
      </c>
      <c r="E26" s="19">
        <v>1500</v>
      </c>
      <c r="F26" s="19">
        <v>128</v>
      </c>
      <c r="G26" s="23">
        <v>300.42399999999998</v>
      </c>
      <c r="H26" s="23">
        <v>1209.9000000000001</v>
      </c>
      <c r="I26" s="19" t="b">
        <v>1</v>
      </c>
    </row>
    <row r="27" spans="1:9" x14ac:dyDescent="0.3">
      <c r="A27" s="19" t="s">
        <v>181</v>
      </c>
      <c r="B27" s="19" t="s">
        <v>159</v>
      </c>
      <c r="C27" s="19">
        <v>100</v>
      </c>
      <c r="D27" s="19">
        <v>30</v>
      </c>
      <c r="E27" s="19">
        <v>3000</v>
      </c>
      <c r="F27" s="19">
        <v>96</v>
      </c>
      <c r="G27" s="23">
        <v>599.59100000000001</v>
      </c>
      <c r="H27" s="23">
        <v>2000.6</v>
      </c>
      <c r="I27" s="19" t="b">
        <v>1</v>
      </c>
    </row>
    <row r="28" spans="1:9" x14ac:dyDescent="0.3">
      <c r="A28" s="19" t="s">
        <v>182</v>
      </c>
      <c r="B28" s="19" t="s">
        <v>159</v>
      </c>
      <c r="C28" s="19">
        <v>200</v>
      </c>
      <c r="D28" s="19">
        <v>30</v>
      </c>
      <c r="E28" s="19">
        <v>6000</v>
      </c>
      <c r="F28" s="19">
        <v>64</v>
      </c>
      <c r="G28" s="23">
        <v>1271.3050000000001</v>
      </c>
      <c r="H28" s="23">
        <v>3578.2</v>
      </c>
      <c r="I28" s="19" t="b">
        <v>0</v>
      </c>
    </row>
    <row r="29" spans="1:9" x14ac:dyDescent="0.3">
      <c r="A29" s="19" t="s">
        <v>183</v>
      </c>
      <c r="B29" s="19" t="s">
        <v>42</v>
      </c>
      <c r="C29" s="19">
        <v>1</v>
      </c>
      <c r="D29" s="19">
        <v>5</v>
      </c>
      <c r="E29" s="19">
        <v>5</v>
      </c>
      <c r="F29" s="19">
        <v>128</v>
      </c>
      <c r="G29" s="20">
        <v>2.7490000000000001</v>
      </c>
      <c r="H29" s="23">
        <v>403</v>
      </c>
      <c r="I29" s="19" t="b">
        <v>1</v>
      </c>
    </row>
    <row r="30" spans="1:9" x14ac:dyDescent="0.3">
      <c r="A30" s="19" t="s">
        <v>184</v>
      </c>
      <c r="B30" s="19" t="s">
        <v>42</v>
      </c>
      <c r="C30" s="19">
        <v>10</v>
      </c>
      <c r="D30" s="19">
        <v>5</v>
      </c>
      <c r="E30" s="19">
        <v>50</v>
      </c>
      <c r="F30" s="19">
        <v>128</v>
      </c>
      <c r="G30" s="20">
        <v>10.536</v>
      </c>
      <c r="H30" s="23">
        <v>439.7</v>
      </c>
      <c r="I30" s="19" t="b">
        <v>1</v>
      </c>
    </row>
    <row r="31" spans="1:9" x14ac:dyDescent="0.3">
      <c r="A31" s="19" t="s">
        <v>185</v>
      </c>
      <c r="B31" s="19" t="s">
        <v>42</v>
      </c>
      <c r="C31" s="19">
        <v>20</v>
      </c>
      <c r="D31" s="19">
        <v>5</v>
      </c>
      <c r="E31" s="19">
        <v>100</v>
      </c>
      <c r="F31" s="19">
        <v>128</v>
      </c>
      <c r="G31" s="20">
        <v>18.917999999999999</v>
      </c>
      <c r="H31" s="23">
        <v>478.4</v>
      </c>
      <c r="I31" s="19" t="b">
        <v>1</v>
      </c>
    </row>
    <row r="32" spans="1:9" x14ac:dyDescent="0.3">
      <c r="A32" s="19" t="s">
        <v>186</v>
      </c>
      <c r="B32" s="19" t="s">
        <v>42</v>
      </c>
      <c r="C32" s="19">
        <v>50</v>
      </c>
      <c r="D32" s="19">
        <v>5</v>
      </c>
      <c r="E32" s="19">
        <v>250</v>
      </c>
      <c r="F32" s="19">
        <v>128</v>
      </c>
      <c r="G32" s="20">
        <v>43.795999999999999</v>
      </c>
      <c r="H32" s="23">
        <v>596.6</v>
      </c>
      <c r="I32" s="19" t="b">
        <v>1</v>
      </c>
    </row>
    <row r="33" spans="1:9" x14ac:dyDescent="0.3">
      <c r="A33" s="19" t="s">
        <v>187</v>
      </c>
      <c r="B33" s="19" t="s">
        <v>42</v>
      </c>
      <c r="C33" s="19">
        <v>100</v>
      </c>
      <c r="D33" s="19">
        <v>5</v>
      </c>
      <c r="E33" s="19">
        <v>500</v>
      </c>
      <c r="F33" s="19">
        <v>128</v>
      </c>
      <c r="G33" s="20">
        <v>87.104500000000002</v>
      </c>
      <c r="H33" s="23">
        <v>796.6</v>
      </c>
      <c r="I33" s="19" t="b">
        <v>1</v>
      </c>
    </row>
    <row r="34" spans="1:9" x14ac:dyDescent="0.3">
      <c r="A34" s="19" t="s">
        <v>188</v>
      </c>
      <c r="B34" s="19" t="s">
        <v>42</v>
      </c>
      <c r="C34" s="19">
        <v>200</v>
      </c>
      <c r="D34" s="19">
        <v>5</v>
      </c>
      <c r="E34" s="19">
        <v>1000</v>
      </c>
      <c r="F34" s="19">
        <v>128</v>
      </c>
      <c r="G34" s="23">
        <v>173.8235</v>
      </c>
      <c r="H34" s="23">
        <v>872.7</v>
      </c>
      <c r="I34" s="19" t="b">
        <v>1</v>
      </c>
    </row>
    <row r="35" spans="1:9" x14ac:dyDescent="0.3">
      <c r="A35" s="19" t="s">
        <v>189</v>
      </c>
      <c r="B35" s="19" t="s">
        <v>42</v>
      </c>
      <c r="C35" s="19">
        <v>1</v>
      </c>
      <c r="D35" s="19">
        <v>10</v>
      </c>
      <c r="E35" s="19">
        <v>10</v>
      </c>
      <c r="F35" s="19">
        <v>128</v>
      </c>
      <c r="G35" s="20">
        <v>4.7069999999999999</v>
      </c>
      <c r="H35" s="23">
        <v>412.8</v>
      </c>
      <c r="I35" s="19" t="b">
        <v>1</v>
      </c>
    </row>
    <row r="36" spans="1:9" x14ac:dyDescent="0.3">
      <c r="A36" s="19" t="s">
        <v>190</v>
      </c>
      <c r="B36" s="19" t="s">
        <v>42</v>
      </c>
      <c r="C36" s="19">
        <v>10</v>
      </c>
      <c r="D36" s="19">
        <v>10</v>
      </c>
      <c r="E36" s="19">
        <v>100</v>
      </c>
      <c r="F36" s="19">
        <v>128</v>
      </c>
      <c r="G36" s="20">
        <v>20.61</v>
      </c>
      <c r="H36" s="23">
        <v>486.5</v>
      </c>
      <c r="I36" s="19" t="b">
        <v>1</v>
      </c>
    </row>
    <row r="37" spans="1:9" x14ac:dyDescent="0.3">
      <c r="A37" s="19" t="s">
        <v>191</v>
      </c>
      <c r="B37" s="19" t="s">
        <v>42</v>
      </c>
      <c r="C37" s="19">
        <v>20</v>
      </c>
      <c r="D37" s="19">
        <v>10</v>
      </c>
      <c r="E37" s="19">
        <v>200</v>
      </c>
      <c r="F37" s="19">
        <v>128</v>
      </c>
      <c r="G37" s="20">
        <v>37.600999999999999</v>
      </c>
      <c r="H37" s="23">
        <v>564.6</v>
      </c>
      <c r="I37" s="19" t="b">
        <v>1</v>
      </c>
    </row>
    <row r="38" spans="1:9" x14ac:dyDescent="0.3">
      <c r="A38" s="19" t="s">
        <v>192</v>
      </c>
      <c r="B38" s="19" t="s">
        <v>42</v>
      </c>
      <c r="C38" s="19">
        <v>50</v>
      </c>
      <c r="D38" s="19">
        <v>10</v>
      </c>
      <c r="E38" s="19">
        <v>500</v>
      </c>
      <c r="F38" s="19">
        <v>128</v>
      </c>
      <c r="G38" s="20">
        <v>87.893499999999989</v>
      </c>
      <c r="H38" s="23">
        <v>802.1</v>
      </c>
      <c r="I38" s="19" t="b">
        <v>1</v>
      </c>
    </row>
    <row r="39" spans="1:9" x14ac:dyDescent="0.3">
      <c r="A39" s="19" t="s">
        <v>193</v>
      </c>
      <c r="B39" s="19" t="s">
        <v>42</v>
      </c>
      <c r="C39" s="19">
        <v>100</v>
      </c>
      <c r="D39" s="19">
        <v>10</v>
      </c>
      <c r="E39" s="19">
        <v>1000</v>
      </c>
      <c r="F39" s="19">
        <v>128</v>
      </c>
      <c r="G39" s="23">
        <v>173.8135</v>
      </c>
      <c r="H39" s="23">
        <v>1198.8</v>
      </c>
      <c r="I39" s="19" t="b">
        <v>1</v>
      </c>
    </row>
    <row r="40" spans="1:9" x14ac:dyDescent="0.3">
      <c r="A40" s="19" t="s">
        <v>194</v>
      </c>
      <c r="B40" s="19" t="s">
        <v>42</v>
      </c>
      <c r="C40" s="19">
        <v>200</v>
      </c>
      <c r="D40" s="19">
        <v>10</v>
      </c>
      <c r="E40" s="19">
        <v>2000</v>
      </c>
      <c r="F40" s="19">
        <v>128</v>
      </c>
      <c r="G40" s="23">
        <v>357.30200000000002</v>
      </c>
      <c r="H40" s="23">
        <v>1350.4</v>
      </c>
      <c r="I40" s="19" t="b">
        <v>1</v>
      </c>
    </row>
    <row r="41" spans="1:9" x14ac:dyDescent="0.3">
      <c r="A41" s="19" t="s">
        <v>195</v>
      </c>
      <c r="B41" s="19" t="s">
        <v>42</v>
      </c>
      <c r="C41" s="19">
        <v>1</v>
      </c>
      <c r="D41" s="19">
        <v>20</v>
      </c>
      <c r="E41" s="19">
        <v>20</v>
      </c>
      <c r="F41" s="19">
        <v>128</v>
      </c>
      <c r="G41" s="20">
        <v>8.6649999999999991</v>
      </c>
      <c r="H41" s="23">
        <v>409.1</v>
      </c>
      <c r="I41" s="19" t="b">
        <v>1</v>
      </c>
    </row>
    <row r="42" spans="1:9" x14ac:dyDescent="0.3">
      <c r="A42" s="19" t="s">
        <v>196</v>
      </c>
      <c r="B42" s="19" t="s">
        <v>42</v>
      </c>
      <c r="C42" s="19">
        <v>10</v>
      </c>
      <c r="D42" s="19">
        <v>20</v>
      </c>
      <c r="E42" s="19">
        <v>200</v>
      </c>
      <c r="F42" s="19">
        <v>128</v>
      </c>
      <c r="G42" s="20">
        <v>40.0105</v>
      </c>
      <c r="H42" s="23">
        <v>557.9</v>
      </c>
      <c r="I42" s="19" t="b">
        <v>1</v>
      </c>
    </row>
    <row r="43" spans="1:9" x14ac:dyDescent="0.3">
      <c r="A43" s="19" t="s">
        <v>197</v>
      </c>
      <c r="B43" s="19" t="s">
        <v>42</v>
      </c>
      <c r="C43" s="19">
        <v>20</v>
      </c>
      <c r="D43" s="19">
        <v>20</v>
      </c>
      <c r="E43" s="19">
        <v>400</v>
      </c>
      <c r="F43" s="19">
        <v>128</v>
      </c>
      <c r="G43" s="20">
        <v>73.216999999999999</v>
      </c>
      <c r="H43" s="23">
        <v>715.8</v>
      </c>
      <c r="I43" s="19" t="b">
        <v>1</v>
      </c>
    </row>
    <row r="44" spans="1:9" x14ac:dyDescent="0.3">
      <c r="A44" s="19" t="s">
        <v>198</v>
      </c>
      <c r="B44" s="19" t="s">
        <v>42</v>
      </c>
      <c r="C44" s="19">
        <v>50</v>
      </c>
      <c r="D44" s="19">
        <v>20</v>
      </c>
      <c r="E44" s="19">
        <v>1000</v>
      </c>
      <c r="F44" s="19">
        <v>128</v>
      </c>
      <c r="G44" s="23">
        <v>172.41849999999999</v>
      </c>
      <c r="H44" s="23">
        <v>1188.5</v>
      </c>
      <c r="I44" s="19" t="b">
        <v>1</v>
      </c>
    </row>
    <row r="45" spans="1:9" x14ac:dyDescent="0.3">
      <c r="A45" s="19" t="s">
        <v>199</v>
      </c>
      <c r="B45" s="19" t="s">
        <v>42</v>
      </c>
      <c r="C45" s="19">
        <v>100</v>
      </c>
      <c r="D45" s="19">
        <v>20</v>
      </c>
      <c r="E45" s="19">
        <v>2000</v>
      </c>
      <c r="F45" s="19">
        <v>128</v>
      </c>
      <c r="G45" s="23">
        <v>346.54300000000001</v>
      </c>
      <c r="H45" s="23">
        <v>1343.2</v>
      </c>
      <c r="I45" s="19" t="b">
        <v>1</v>
      </c>
    </row>
    <row r="46" spans="1:9" x14ac:dyDescent="0.3">
      <c r="A46" s="19" t="s">
        <v>200</v>
      </c>
      <c r="B46" s="19" t="s">
        <v>42</v>
      </c>
      <c r="C46" s="19">
        <v>200</v>
      </c>
      <c r="D46" s="19">
        <v>20</v>
      </c>
      <c r="E46" s="19">
        <v>4000</v>
      </c>
      <c r="F46" s="19">
        <v>96</v>
      </c>
      <c r="G46" s="23">
        <v>689.8744999999999</v>
      </c>
      <c r="H46" s="23">
        <v>2276.9</v>
      </c>
      <c r="I46" s="19" t="b">
        <v>0</v>
      </c>
    </row>
    <row r="47" spans="1:9" x14ac:dyDescent="0.3">
      <c r="A47" s="19" t="s">
        <v>201</v>
      </c>
      <c r="B47" s="19" t="s">
        <v>42</v>
      </c>
      <c r="C47" s="19">
        <v>1</v>
      </c>
      <c r="D47" s="19">
        <v>30</v>
      </c>
      <c r="E47" s="19">
        <v>30</v>
      </c>
      <c r="F47" s="19">
        <v>128</v>
      </c>
      <c r="G47" s="20">
        <v>12.9145</v>
      </c>
      <c r="H47" s="23">
        <v>445.9</v>
      </c>
      <c r="I47" s="19" t="b">
        <v>1</v>
      </c>
    </row>
    <row r="48" spans="1:9" x14ac:dyDescent="0.3">
      <c r="A48" s="19" t="s">
        <v>202</v>
      </c>
      <c r="B48" s="19" t="s">
        <v>42</v>
      </c>
      <c r="C48" s="19">
        <v>10</v>
      </c>
      <c r="D48" s="19">
        <v>30</v>
      </c>
      <c r="E48" s="19">
        <v>300</v>
      </c>
      <c r="F48" s="19">
        <v>128</v>
      </c>
      <c r="G48" s="20">
        <v>59.487000000000002</v>
      </c>
      <c r="H48" s="23">
        <v>663.5</v>
      </c>
      <c r="I48" s="19" t="b">
        <v>1</v>
      </c>
    </row>
    <row r="49" spans="1:9" x14ac:dyDescent="0.3">
      <c r="A49" s="19" t="s">
        <v>203</v>
      </c>
      <c r="B49" s="19" t="s">
        <v>42</v>
      </c>
      <c r="C49" s="19">
        <v>20</v>
      </c>
      <c r="D49" s="19">
        <v>30</v>
      </c>
      <c r="E49" s="19">
        <v>600</v>
      </c>
      <c r="F49" s="19">
        <v>128</v>
      </c>
      <c r="G49" s="23">
        <v>109.2585</v>
      </c>
      <c r="H49" s="23">
        <v>895.8</v>
      </c>
      <c r="I49" s="19" t="b">
        <v>1</v>
      </c>
    </row>
    <row r="50" spans="1:9" x14ac:dyDescent="0.3">
      <c r="A50" s="19" t="s">
        <v>204</v>
      </c>
      <c r="B50" s="19" t="s">
        <v>42</v>
      </c>
      <c r="C50" s="19">
        <v>50</v>
      </c>
      <c r="D50" s="19">
        <v>30</v>
      </c>
      <c r="E50" s="19">
        <v>1500</v>
      </c>
      <c r="F50" s="19">
        <v>128</v>
      </c>
      <c r="G50" s="23">
        <v>259.07249999999999</v>
      </c>
      <c r="H50" s="23">
        <v>1121.5</v>
      </c>
      <c r="I50" s="19" t="b">
        <v>1</v>
      </c>
    </row>
    <row r="51" spans="1:9" x14ac:dyDescent="0.3">
      <c r="A51" s="19" t="s">
        <v>205</v>
      </c>
      <c r="B51" s="19" t="s">
        <v>42</v>
      </c>
      <c r="C51" s="19">
        <v>100</v>
      </c>
      <c r="D51" s="19">
        <v>30</v>
      </c>
      <c r="E51" s="19">
        <v>3000</v>
      </c>
      <c r="F51" s="19">
        <v>96</v>
      </c>
      <c r="G51" s="23">
        <v>516.34649999999999</v>
      </c>
      <c r="H51" s="23">
        <v>1821</v>
      </c>
      <c r="I51" s="19" t="b">
        <v>1</v>
      </c>
    </row>
    <row r="52" spans="1:9" x14ac:dyDescent="0.3">
      <c r="A52" s="19" t="s">
        <v>206</v>
      </c>
      <c r="B52" s="19" t="s">
        <v>42</v>
      </c>
      <c r="C52" s="19">
        <v>200</v>
      </c>
      <c r="D52" s="19">
        <v>30</v>
      </c>
      <c r="E52" s="19">
        <v>6000</v>
      </c>
      <c r="F52" s="19">
        <v>64</v>
      </c>
      <c r="G52" s="23">
        <v>1084.9155000000001</v>
      </c>
      <c r="H52" s="23">
        <v>3215.6</v>
      </c>
      <c r="I52" s="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19" customWidth="1"/>
    <col min="3" max="5" width="20" customWidth="1"/>
    <col min="6" max="6" width="12" customWidth="1"/>
    <col min="7" max="7" width="20" customWidth="1"/>
  </cols>
  <sheetData>
    <row r="1" spans="1:7" ht="18" x14ac:dyDescent="0.35">
      <c r="A1" s="1" t="s">
        <v>207</v>
      </c>
    </row>
    <row r="2" spans="1:7" x14ac:dyDescent="0.3">
      <c r="A2" s="2" t="s">
        <v>208</v>
      </c>
    </row>
    <row r="4" spans="1:7" x14ac:dyDescent="0.3">
      <c r="A4" s="18" t="s">
        <v>209</v>
      </c>
      <c r="B4" s="18" t="s">
        <v>155</v>
      </c>
      <c r="C4" s="18" t="s">
        <v>210</v>
      </c>
      <c r="D4" s="18" t="s">
        <v>211</v>
      </c>
      <c r="E4" s="18" t="s">
        <v>212</v>
      </c>
      <c r="F4" s="18" t="s">
        <v>156</v>
      </c>
      <c r="G4" s="18" t="s">
        <v>213</v>
      </c>
    </row>
    <row r="5" spans="1:7" x14ac:dyDescent="0.3">
      <c r="A5" s="20">
        <v>1</v>
      </c>
      <c r="B5" s="20">
        <v>63.98</v>
      </c>
      <c r="C5" s="20">
        <v>1</v>
      </c>
      <c r="D5" s="20">
        <v>56.267583619881208</v>
      </c>
      <c r="E5" s="23">
        <v>2274.844444444444</v>
      </c>
      <c r="F5" s="23">
        <v>755.1</v>
      </c>
      <c r="G5" s="20">
        <v>0.85606861393954803</v>
      </c>
    </row>
    <row r="6" spans="1:7" x14ac:dyDescent="0.3">
      <c r="A6" s="20">
        <v>8</v>
      </c>
      <c r="B6" s="20">
        <v>64.573000000000008</v>
      </c>
      <c r="C6" s="20">
        <v>1.009268521412942</v>
      </c>
      <c r="D6" s="23">
        <v>446.0068449661623</v>
      </c>
      <c r="E6" s="23">
        <v>286.99111111111108</v>
      </c>
      <c r="F6" s="23">
        <v>691</v>
      </c>
      <c r="G6" s="20">
        <v>0.86400310421879412</v>
      </c>
    </row>
    <row r="7" spans="1:7" x14ac:dyDescent="0.3">
      <c r="A7" s="20">
        <v>16</v>
      </c>
      <c r="B7" s="20">
        <v>64.653500000000008</v>
      </c>
      <c r="C7" s="20">
        <v>1.01052672710222</v>
      </c>
      <c r="D7" s="23">
        <v>890.90304469208922</v>
      </c>
      <c r="E7" s="23">
        <v>143.67444444444439</v>
      </c>
      <c r="F7" s="23">
        <v>692.4</v>
      </c>
      <c r="G7" s="20">
        <v>0.86508021461926499</v>
      </c>
    </row>
    <row r="8" spans="1:7" x14ac:dyDescent="0.3">
      <c r="A8" s="20">
        <v>32</v>
      </c>
      <c r="B8" s="20">
        <v>64.514499999999998</v>
      </c>
      <c r="C8" s="20">
        <v>1.008354173179119</v>
      </c>
      <c r="D8" s="23">
        <v>1785.6450875384601</v>
      </c>
      <c r="E8" s="20">
        <v>71.682777777777773</v>
      </c>
      <c r="F8" s="23">
        <v>697.2</v>
      </c>
      <c r="G8" s="20">
        <v>0.86322035939360708</v>
      </c>
    </row>
    <row r="9" spans="1:7" x14ac:dyDescent="0.3">
      <c r="A9" s="20">
        <v>48</v>
      </c>
      <c r="B9" s="20">
        <v>67.847999999999999</v>
      </c>
      <c r="C9" s="20">
        <v>1.0604563926226951</v>
      </c>
      <c r="D9" s="23">
        <v>2546.869472939512</v>
      </c>
      <c r="E9" s="20">
        <v>50.257777777777783</v>
      </c>
      <c r="F9" s="23">
        <v>698.8</v>
      </c>
      <c r="G9" s="20">
        <v>0.90782343417584332</v>
      </c>
    </row>
    <row r="10" spans="1:7" x14ac:dyDescent="0.3">
      <c r="A10" s="20">
        <v>64</v>
      </c>
      <c r="B10" s="20">
        <v>74.253500000000003</v>
      </c>
      <c r="C10" s="20">
        <v>1.1605736167552361</v>
      </c>
      <c r="D10" s="23">
        <v>3102.8840391362019</v>
      </c>
      <c r="E10" s="20">
        <v>41.251944444444447</v>
      </c>
      <c r="F10" s="23">
        <v>701.9</v>
      </c>
      <c r="G10" s="20">
        <v>0.99353064747046316</v>
      </c>
    </row>
    <row r="11" spans="1:7" x14ac:dyDescent="0.3">
      <c r="A11" s="20">
        <v>96</v>
      </c>
      <c r="B11" s="20">
        <v>73.784000000000006</v>
      </c>
      <c r="C11" s="20">
        <v>1.153235386058143</v>
      </c>
      <c r="D11" s="23">
        <v>4683.942318117749</v>
      </c>
      <c r="E11" s="20">
        <v>27.32740740740741</v>
      </c>
      <c r="F11" s="23">
        <v>707.8</v>
      </c>
      <c r="G11" s="20">
        <v>0.98724861848883427</v>
      </c>
    </row>
    <row r="12" spans="1:7" x14ac:dyDescent="0.3">
      <c r="A12" s="23">
        <v>128</v>
      </c>
      <c r="B12" s="20">
        <v>74.736999999999995</v>
      </c>
      <c r="C12" s="20">
        <v>1.168130665833073</v>
      </c>
      <c r="D12" s="23">
        <v>6165.6207768575141</v>
      </c>
      <c r="E12" s="20">
        <v>20.76027777777778</v>
      </c>
      <c r="F12" s="23">
        <v>714.1</v>
      </c>
      <c r="G12" s="2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9" customWidth="1"/>
    <col min="3" max="3" width="20" customWidth="1"/>
    <col min="4" max="4" width="13" customWidth="1"/>
    <col min="5" max="5" width="9" customWidth="1"/>
    <col min="6" max="6" width="11" customWidth="1"/>
    <col min="7" max="7" width="13" customWidth="1"/>
    <col min="8" max="8" width="20" customWidth="1"/>
    <col min="9" max="9" width="15" customWidth="1"/>
    <col min="10" max="10" width="20" customWidth="1"/>
  </cols>
  <sheetData>
    <row r="1" spans="1:10" ht="18" x14ac:dyDescent="0.35">
      <c r="A1" s="1" t="s">
        <v>214</v>
      </c>
    </row>
    <row r="2" spans="1:10" x14ac:dyDescent="0.3">
      <c r="A2" s="2" t="s">
        <v>215</v>
      </c>
    </row>
    <row r="4" spans="1:10" x14ac:dyDescent="0.3">
      <c r="A4" s="18" t="s">
        <v>216</v>
      </c>
      <c r="B4" s="18" t="s">
        <v>51</v>
      </c>
      <c r="C4" s="18" t="s">
        <v>217</v>
      </c>
      <c r="D4" s="18" t="s">
        <v>218</v>
      </c>
      <c r="E4" s="18" t="s">
        <v>219</v>
      </c>
      <c r="F4" s="18" t="s">
        <v>220</v>
      </c>
      <c r="G4" s="18" t="s">
        <v>221</v>
      </c>
      <c r="H4" s="18" t="s">
        <v>222</v>
      </c>
      <c r="I4" s="18" t="s">
        <v>223</v>
      </c>
      <c r="J4" s="18" t="s">
        <v>111</v>
      </c>
    </row>
    <row r="5" spans="1:10" x14ac:dyDescent="0.3">
      <c r="A5" s="19" t="s">
        <v>224</v>
      </c>
      <c r="B5" s="19">
        <v>1</v>
      </c>
      <c r="C5" s="19">
        <v>8</v>
      </c>
      <c r="D5" s="19">
        <v>8</v>
      </c>
      <c r="E5" s="19">
        <v>10</v>
      </c>
      <c r="F5" s="19">
        <v>1280</v>
      </c>
      <c r="G5" s="23">
        <v>837</v>
      </c>
      <c r="H5" s="20">
        <v>1</v>
      </c>
      <c r="I5" s="20">
        <v>1</v>
      </c>
      <c r="J5" s="20">
        <v>1</v>
      </c>
    </row>
    <row r="6" spans="1:10" x14ac:dyDescent="0.3">
      <c r="A6" s="19" t="s">
        <v>225</v>
      </c>
      <c r="B6" s="19">
        <v>1</v>
      </c>
      <c r="C6" s="19">
        <v>16</v>
      </c>
      <c r="D6" s="19">
        <v>16</v>
      </c>
      <c r="E6" s="19">
        <v>18</v>
      </c>
      <c r="F6" s="19">
        <v>1280</v>
      </c>
      <c r="G6" s="23">
        <v>471</v>
      </c>
      <c r="H6" s="20">
        <v>1.777070063694268</v>
      </c>
      <c r="I6" s="20">
        <v>2</v>
      </c>
      <c r="J6" s="20">
        <v>0.88853503184713378</v>
      </c>
    </row>
    <row r="7" spans="1:10" x14ac:dyDescent="0.3">
      <c r="A7" s="19" t="s">
        <v>226</v>
      </c>
      <c r="B7" s="19">
        <v>1</v>
      </c>
      <c r="C7" s="19">
        <v>32</v>
      </c>
      <c r="D7" s="19">
        <v>32</v>
      </c>
      <c r="E7" s="19">
        <v>34</v>
      </c>
      <c r="F7" s="19">
        <v>1280</v>
      </c>
      <c r="G7" s="23">
        <v>249</v>
      </c>
      <c r="H7" s="20">
        <v>3.3614457831325302</v>
      </c>
      <c r="I7" s="20">
        <v>4</v>
      </c>
      <c r="J7" s="20">
        <v>0.84036144578313254</v>
      </c>
    </row>
    <row r="8" spans="1:10" x14ac:dyDescent="0.3">
      <c r="A8" s="19" t="s">
        <v>227</v>
      </c>
      <c r="B8" s="19">
        <v>1</v>
      </c>
      <c r="C8" s="19">
        <v>64</v>
      </c>
      <c r="D8" s="19">
        <v>64</v>
      </c>
      <c r="E8" s="19">
        <v>66</v>
      </c>
      <c r="F8" s="19">
        <v>1280</v>
      </c>
      <c r="G8" s="23">
        <v>143.5</v>
      </c>
      <c r="H8" s="20">
        <v>5.8327526132404177</v>
      </c>
      <c r="I8" s="20">
        <v>8</v>
      </c>
      <c r="J8" s="20">
        <v>0.72909407665505221</v>
      </c>
    </row>
    <row r="9" spans="1:10" x14ac:dyDescent="0.3">
      <c r="A9" s="19" t="s">
        <v>228</v>
      </c>
      <c r="B9" s="19">
        <v>2</v>
      </c>
      <c r="C9" s="19">
        <v>32</v>
      </c>
      <c r="D9" s="19">
        <v>64</v>
      </c>
      <c r="E9" s="19">
        <v>67</v>
      </c>
      <c r="F9" s="19">
        <v>1280</v>
      </c>
      <c r="G9" s="23">
        <v>147</v>
      </c>
      <c r="H9" s="20">
        <v>5.6938775510204076</v>
      </c>
      <c r="I9" s="20">
        <v>8</v>
      </c>
      <c r="J9" s="20">
        <v>0.71173469387755106</v>
      </c>
    </row>
    <row r="10" spans="1:10" x14ac:dyDescent="0.3">
      <c r="A10" s="19" t="s">
        <v>229</v>
      </c>
      <c r="B10" s="19">
        <v>4</v>
      </c>
      <c r="C10" s="19">
        <v>16</v>
      </c>
      <c r="D10" s="19">
        <v>64</v>
      </c>
      <c r="E10" s="19">
        <v>69</v>
      </c>
      <c r="F10" s="19">
        <v>1280</v>
      </c>
      <c r="G10" s="23">
        <v>147</v>
      </c>
      <c r="H10" s="20">
        <v>5.6938775510204076</v>
      </c>
      <c r="I10" s="20">
        <v>8</v>
      </c>
      <c r="J10" s="20">
        <v>0.71173469387755106</v>
      </c>
    </row>
    <row r="12" spans="1:10" x14ac:dyDescent="0.3">
      <c r="A12" s="5" t="s">
        <v>230</v>
      </c>
    </row>
    <row r="13" spans="1:10" x14ac:dyDescent="0.3">
      <c r="A13" t="s">
        <v>231</v>
      </c>
    </row>
    <row r="14" spans="1:10" x14ac:dyDescent="0.3">
      <c r="A14" t="s">
        <v>232</v>
      </c>
      <c r="B14" s="5">
        <v>1.2518990000000001</v>
      </c>
    </row>
    <row r="15" spans="1:10" x14ac:dyDescent="0.3">
      <c r="A15" t="s">
        <v>233</v>
      </c>
      <c r="B15" s="5">
        <v>-8.6088999999999999E-2</v>
      </c>
    </row>
    <row r="16" spans="1:10" x14ac:dyDescent="0.3">
      <c r="A16" s="2" t="s">
        <v>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20" customWidth="1"/>
    <col min="4" max="4" width="12" customWidth="1"/>
    <col min="5" max="5" width="20" customWidth="1"/>
  </cols>
  <sheetData>
    <row r="1" spans="1:5" ht="18" x14ac:dyDescent="0.35">
      <c r="A1" s="1" t="s">
        <v>235</v>
      </c>
    </row>
    <row r="2" spans="1:5" x14ac:dyDescent="0.3">
      <c r="A2" s="2" t="s">
        <v>236</v>
      </c>
    </row>
    <row r="4" spans="1:5" x14ac:dyDescent="0.3">
      <c r="A4" s="18" t="s">
        <v>237</v>
      </c>
      <c r="B4" s="18" t="s">
        <v>155</v>
      </c>
      <c r="C4" s="18" t="s">
        <v>238</v>
      </c>
      <c r="D4" s="18" t="s">
        <v>156</v>
      </c>
      <c r="E4" s="18" t="s">
        <v>212</v>
      </c>
    </row>
    <row r="5" spans="1:5" x14ac:dyDescent="0.3">
      <c r="A5" s="20">
        <v>1</v>
      </c>
      <c r="B5" s="23">
        <v>182.7055</v>
      </c>
      <c r="C5" s="20">
        <v>2.441705534098654</v>
      </c>
      <c r="D5" s="23">
        <v>461.6</v>
      </c>
      <c r="E5" s="20">
        <v>50.751527777777781</v>
      </c>
    </row>
    <row r="6" spans="1:5" x14ac:dyDescent="0.3">
      <c r="A6" s="20">
        <v>2</v>
      </c>
      <c r="B6" s="23">
        <v>128.62</v>
      </c>
      <c r="C6" s="20">
        <v>1.718898258649953</v>
      </c>
      <c r="D6" s="23">
        <v>507.7</v>
      </c>
      <c r="E6" s="20">
        <v>35.727777777777767</v>
      </c>
    </row>
    <row r="7" spans="1:5" x14ac:dyDescent="0.3">
      <c r="A7" s="20">
        <v>5</v>
      </c>
      <c r="B7" s="20">
        <v>93.914500000000004</v>
      </c>
      <c r="C7" s="20">
        <v>1.2550884039183721</v>
      </c>
      <c r="D7" s="23">
        <v>554</v>
      </c>
      <c r="E7" s="20">
        <v>26.087361111111111</v>
      </c>
    </row>
    <row r="8" spans="1:5" x14ac:dyDescent="0.3">
      <c r="A8" s="20">
        <v>10</v>
      </c>
      <c r="B8" s="20">
        <v>81.389499999999998</v>
      </c>
      <c r="C8" s="20">
        <v>1.087702299971935</v>
      </c>
      <c r="D8" s="23">
        <v>694.3</v>
      </c>
      <c r="E8" s="20">
        <v>22.60819444444444</v>
      </c>
    </row>
    <row r="9" spans="1:5" x14ac:dyDescent="0.3">
      <c r="A9" s="20">
        <v>20</v>
      </c>
      <c r="B9" s="20">
        <v>74.826999999999998</v>
      </c>
      <c r="C9" s="20">
        <v>1</v>
      </c>
      <c r="D9" s="23">
        <v>713.1</v>
      </c>
      <c r="E9" s="20">
        <v>20.785277777777779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2" width="15" customWidth="1"/>
    <col min="3" max="3" width="60" customWidth="1"/>
    <col min="4" max="4" width="18" customWidth="1"/>
    <col min="5" max="5" width="15" customWidth="1"/>
    <col min="6" max="6" width="13" customWidth="1"/>
    <col min="7" max="7" width="22" customWidth="1"/>
    <col min="8" max="8" width="16" customWidth="1"/>
  </cols>
  <sheetData>
    <row r="1" spans="1:8" ht="18" x14ac:dyDescent="0.35">
      <c r="A1" s="1" t="s">
        <v>239</v>
      </c>
    </row>
    <row r="2" spans="1:8" x14ac:dyDescent="0.3">
      <c r="A2" s="2" t="s">
        <v>240</v>
      </c>
    </row>
    <row r="4" spans="1:8" ht="28.8" x14ac:dyDescent="0.3">
      <c r="A4" s="18" t="s">
        <v>41</v>
      </c>
      <c r="B4" s="18" t="s">
        <v>241</v>
      </c>
      <c r="C4" s="18" t="s">
        <v>242</v>
      </c>
      <c r="D4" s="18" t="s">
        <v>243</v>
      </c>
      <c r="E4" s="18" t="s">
        <v>244</v>
      </c>
      <c r="F4" s="18" t="s">
        <v>245</v>
      </c>
      <c r="G4" s="18" t="s">
        <v>246</v>
      </c>
      <c r="H4" s="18" t="s">
        <v>247</v>
      </c>
    </row>
    <row r="5" spans="1:8" x14ac:dyDescent="0.3">
      <c r="A5" s="19" t="s">
        <v>42</v>
      </c>
      <c r="B5" s="20">
        <v>2.4645000000000001</v>
      </c>
      <c r="C5" s="20">
        <v>0.17634</v>
      </c>
      <c r="D5" s="20">
        <v>3.6999999999999998E-2</v>
      </c>
      <c r="E5" s="20">
        <v>0.39950000000000002</v>
      </c>
      <c r="F5" s="23">
        <v>477.77</v>
      </c>
      <c r="G5" s="20">
        <v>0.48536000000000001</v>
      </c>
      <c r="H5" s="19">
        <v>21</v>
      </c>
    </row>
    <row r="6" spans="1:8" x14ac:dyDescent="0.3">
      <c r="A6" s="19" t="s">
        <v>159</v>
      </c>
      <c r="B6" s="20">
        <v>2.7576999999999998</v>
      </c>
      <c r="C6" s="20">
        <v>0.20449000000000001</v>
      </c>
      <c r="D6" s="20">
        <v>4.1799999999999997E-2</v>
      </c>
      <c r="E6" s="20">
        <v>0.3831</v>
      </c>
      <c r="F6" s="23">
        <v>482.55</v>
      </c>
      <c r="G6" s="20">
        <v>0.53810000000000002</v>
      </c>
      <c r="H6" s="19">
        <v>21</v>
      </c>
    </row>
    <row r="8" spans="1:8" x14ac:dyDescent="0.3">
      <c r="A8" s="5" t="s">
        <v>248</v>
      </c>
    </row>
    <row r="9" spans="1:8" x14ac:dyDescent="0.3">
      <c r="A9" s="5" t="s">
        <v>249</v>
      </c>
      <c r="B9">
        <v>128</v>
      </c>
      <c r="C9" s="2" t="s">
        <v>250</v>
      </c>
    </row>
    <row r="10" spans="1:8" x14ac:dyDescent="0.3">
      <c r="A10" s="5" t="s">
        <v>251</v>
      </c>
      <c r="B10">
        <v>256</v>
      </c>
      <c r="C10" s="2" t="s">
        <v>250</v>
      </c>
    </row>
    <row r="11" spans="1:8" x14ac:dyDescent="0.3">
      <c r="A11" s="5" t="s">
        <v>252</v>
      </c>
      <c r="B11">
        <v>128</v>
      </c>
      <c r="C11" s="2" t="s">
        <v>253</v>
      </c>
    </row>
    <row r="12" spans="1:8" x14ac:dyDescent="0.3">
      <c r="A12" s="5" t="s">
        <v>254</v>
      </c>
      <c r="B12">
        <v>0.85</v>
      </c>
      <c r="C12" s="2" t="s">
        <v>255</v>
      </c>
    </row>
    <row r="13" spans="1:8" x14ac:dyDescent="0.3">
      <c r="A13" s="5" t="s">
        <v>256</v>
      </c>
      <c r="B13">
        <v>750000</v>
      </c>
      <c r="C13" s="2" t="s">
        <v>257</v>
      </c>
    </row>
    <row r="14" spans="1:8" x14ac:dyDescent="0.3">
      <c r="A14" s="5" t="s">
        <v>258</v>
      </c>
      <c r="B14">
        <v>1.1535</v>
      </c>
      <c r="C14" s="2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23</vt:i4>
      </vt:variant>
    </vt:vector>
  </HeadingPairs>
  <TitlesOfParts>
    <vt:vector size="32" baseType="lpstr">
      <vt:lpstr>README</vt:lpstr>
      <vt:lpstr>Inputs</vt:lpstr>
      <vt:lpstr>Calculator</vt:lpstr>
      <vt:lpstr>Design_Compare</vt:lpstr>
      <vt:lpstr>Data_CostSurface</vt:lpstr>
      <vt:lpstr>Data_Packing</vt:lpstr>
      <vt:lpstr>Data_BorgScaling</vt:lpstr>
      <vt:lpstr>Data_Batching</vt:lpstr>
      <vt:lpstr>Data_Fits</vt:lpstr>
      <vt:lpstr>allocation_su</vt:lpstr>
      <vt:lpstr>cores_per_node</vt:lpstr>
      <vt:lpstr>efficiency_manual</vt:lpstr>
      <vt:lpstr>efficiency_method</vt:lpstr>
      <vt:lpstr>full_over_trimmed_time</vt:lpstr>
      <vt:lpstr>islands</vt:lpstr>
      <vt:lpstr>mem_safety_frac</vt:lpstr>
      <vt:lpstr>model_variant</vt:lpstr>
      <vt:lpstr>n_designs</vt:lpstr>
      <vt:lpstr>n_draws</vt:lpstr>
      <vt:lpstr>n_realizations</vt:lpstr>
      <vt:lpstr>n_seeds</vt:lpstr>
      <vt:lpstr>nfe_total</vt:lpstr>
      <vt:lpstr>node_mem_gb</vt:lpstr>
      <vt:lpstr>nodes</vt:lpstr>
      <vt:lpstr>ranks_per_node</vt:lpstr>
      <vt:lpstr>realization_years</vt:lpstr>
      <vt:lpstr>realizations_per_run</vt:lpstr>
      <vt:lpstr>reeval_n_realizations</vt:lpstr>
      <vt:lpstr>reeval_nodes</vt:lpstr>
      <vt:lpstr>reeval_policies</vt:lpstr>
      <vt:lpstr>reeval_years</vt:lpstr>
      <vt:lpstr>su_per_node_hr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Amestoy</cp:lastModifiedBy>
  <dcterms:created xsi:type="dcterms:W3CDTF">2026-07-16T18:59:38Z</dcterms:created>
  <dcterms:modified xsi:type="dcterms:W3CDTF">2026-07-17T14:36:15Z</dcterms:modified>
</cp:coreProperties>
</file>